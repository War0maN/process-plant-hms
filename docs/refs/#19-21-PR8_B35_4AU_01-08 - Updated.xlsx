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Y:\2.0 WASHABILITY TESTING LABORATORY\1. Report\2019\Washability\"/>
    </mc:Choice>
  </mc:AlternateContent>
  <xr:revisionPtr revIDLastSave="0" documentId="13_ncr:1_{2ED404E0-972B-47B1-9E72-B8A63E95517D}" xr6:coauthVersionLast="44" xr6:coauthVersionMax="44" xr10:uidLastSave="{00000000-0000-0000-0000-000000000000}"/>
  <bookViews>
    <workbookView xWindow="-120" yWindow="-120" windowWidth="29040" windowHeight="15840" activeTab="2" xr2:uid="{00000000-000D-0000-FFFF-FFFF00000000}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'!$A$1:$D$29</definedName>
    <definedName name="_xlnm.Print_Area" localSheetId="2">'Float sink'!$A$1:$N$93</definedName>
    <definedName name="_xlnm.Print_Area" localSheetId="3">'Froth Flotation'!$A$1:$L$18</definedName>
    <definedName name="_xlnm.Print_Area" localSheetId="1">Pretreatment!$A$1:$J$51</definedName>
    <definedName name="_xlnm.Print_Area" localSheetId="0">'Raw Coal analysis'!$A$1:$D$28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82" i="5" l="1"/>
  <c r="H83" i="5"/>
  <c r="H84" i="5"/>
  <c r="H85" i="5"/>
  <c r="H86" i="5"/>
  <c r="H87" i="5"/>
  <c r="H88" i="5"/>
  <c r="D45" i="4" l="1"/>
  <c r="E45" i="4" s="1"/>
  <c r="D12" i="4"/>
  <c r="D26" i="4"/>
  <c r="E26" i="4" s="1"/>
  <c r="C7" i="3" l="1"/>
  <c r="C2" i="4"/>
  <c r="C5" i="7" l="1"/>
  <c r="F16" i="6" l="1"/>
  <c r="D47" i="4" l="1"/>
  <c r="C3" i="7"/>
  <c r="C4" i="7"/>
  <c r="C1" i="7"/>
  <c r="D4" i="6"/>
  <c r="D5" i="6"/>
  <c r="D3" i="6"/>
  <c r="D1" i="6"/>
  <c r="E3" i="5"/>
  <c r="E4" i="5"/>
  <c r="E5" i="5"/>
  <c r="E1" i="5"/>
  <c r="C6" i="4"/>
  <c r="C5" i="4"/>
  <c r="C4" i="4"/>
  <c r="G89" i="5" l="1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G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G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G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G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1" i="4"/>
  <c r="D28" i="4"/>
  <c r="D29" i="4"/>
  <c r="E29" i="4" s="1"/>
  <c r="D14" i="4"/>
  <c r="E11" i="4" s="1"/>
  <c r="E12" i="4"/>
  <c r="H60" i="5" l="1"/>
  <c r="H68" i="5"/>
  <c r="H63" i="5"/>
  <c r="H61" i="5"/>
  <c r="H69" i="5"/>
  <c r="H67" i="5"/>
  <c r="H62" i="5"/>
  <c r="H70" i="5"/>
  <c r="H71" i="5"/>
  <c r="H66" i="5"/>
  <c r="H64" i="5"/>
  <c r="H72" i="5"/>
  <c r="H65" i="5"/>
  <c r="H59" i="5"/>
  <c r="H30" i="5"/>
  <c r="H38" i="5"/>
  <c r="H31" i="5"/>
  <c r="H39" i="5"/>
  <c r="H27" i="5"/>
  <c r="H32" i="5"/>
  <c r="H40" i="5"/>
  <c r="H33" i="5"/>
  <c r="H29" i="5"/>
  <c r="H36" i="5"/>
  <c r="H37" i="5"/>
  <c r="H34" i="5"/>
  <c r="H28" i="5"/>
  <c r="H35" i="5"/>
  <c r="H45" i="5"/>
  <c r="H53" i="5"/>
  <c r="H46" i="5"/>
  <c r="H54" i="5"/>
  <c r="H48" i="5"/>
  <c r="H47" i="5"/>
  <c r="H55" i="5"/>
  <c r="H56" i="5"/>
  <c r="H52" i="5"/>
  <c r="H49" i="5"/>
  <c r="H43" i="5"/>
  <c r="H50" i="5"/>
  <c r="H51" i="5"/>
  <c r="H44" i="5"/>
  <c r="H12" i="5"/>
  <c r="H20" i="5"/>
  <c r="H18" i="5"/>
  <c r="H13" i="5"/>
  <c r="H21" i="5"/>
  <c r="H19" i="5"/>
  <c r="H14" i="5"/>
  <c r="H22" i="5"/>
  <c r="H15" i="5"/>
  <c r="H23" i="5"/>
  <c r="H16" i="5"/>
  <c r="H24" i="5"/>
  <c r="H17" i="5"/>
  <c r="H25" i="5"/>
  <c r="H75" i="5"/>
  <c r="H76" i="5"/>
  <c r="H77" i="5"/>
  <c r="H81" i="5"/>
  <c r="H78" i="5"/>
  <c r="H79" i="5"/>
  <c r="H80" i="5"/>
  <c r="D48" i="4"/>
  <c r="E48" i="4" s="1"/>
  <c r="E21" i="4"/>
  <c r="E19" i="4"/>
  <c r="E24" i="4"/>
  <c r="E20" i="4"/>
  <c r="E22" i="4"/>
  <c r="E23" i="4"/>
  <c r="E38" i="4"/>
  <c r="E39" i="4"/>
  <c r="E35" i="4"/>
  <c r="E42" i="4"/>
  <c r="E43" i="4"/>
  <c r="E34" i="4"/>
  <c r="E25" i="4"/>
  <c r="E28" i="4"/>
  <c r="E14" i="4"/>
  <c r="E10" i="4"/>
  <c r="E36" i="4"/>
  <c r="E40" i="4"/>
  <c r="E44" i="4"/>
  <c r="E47" i="4"/>
  <c r="E15" i="4"/>
  <c r="E33" i="4"/>
  <c r="E37" i="4"/>
  <c r="H73" i="5" l="1"/>
  <c r="H57" i="5"/>
  <c r="H89" i="5"/>
  <c r="M89" i="5" s="1"/>
  <c r="H41" i="5"/>
  <c r="J41" i="5" s="1"/>
  <c r="M73" i="5"/>
  <c r="J73" i="5"/>
  <c r="I57" i="5"/>
  <c r="K25" i="5"/>
  <c r="L41" i="5" l="1"/>
  <c r="M41" i="5"/>
  <c r="K41" i="5"/>
  <c r="I73" i="5"/>
  <c r="L73" i="5"/>
  <c r="K73" i="5"/>
  <c r="J89" i="5"/>
  <c r="I41" i="5"/>
  <c r="K89" i="5"/>
  <c r="I89" i="5"/>
  <c r="L89" i="5"/>
  <c r="M57" i="5"/>
  <c r="I25" i="5"/>
  <c r="J25" i="5"/>
  <c r="L57" i="5"/>
  <c r="J57" i="5"/>
  <c r="L25" i="5"/>
  <c r="M25" i="5"/>
  <c r="K5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2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4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5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7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</commentList>
</comments>
</file>

<file path=xl/sharedStrings.xml><?xml version="1.0" encoding="utf-8"?>
<sst xmlns="http://schemas.openxmlformats.org/spreadsheetml/2006/main" count="204" uniqueCount="101">
  <si>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</si>
  <si>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</si>
  <si>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</si>
  <si>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</si>
  <si>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</si>
  <si>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</si>
  <si>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</si>
  <si>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</si>
  <si>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</si>
  <si>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</si>
  <si>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</si>
  <si>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</si>
  <si>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</si>
  <si>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</si>
  <si>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</si>
  <si>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TRD 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</si>
  <si>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</si>
  <si>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</si>
  <si>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</si>
  <si>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</si>
  <si>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</si>
  <si>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</si>
  <si>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</si>
  <si>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</si>
  <si>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</si>
  <si>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</si>
  <si>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</si>
  <si>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</si>
  <si>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</si>
  <si>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</si>
  <si>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</si>
  <si>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</si>
  <si>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</si>
  <si>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</si>
  <si>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</si>
  <si>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</si>
  <si>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</si>
  <si>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</si>
  <si>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</si>
  <si>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</si>
  <si>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</si>
  <si>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</si>
  <si>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</si>
  <si>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</si>
  <si>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</si>
  <si>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</si>
  <si>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</si>
  <si>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</si>
  <si>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</si>
  <si>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</si>
  <si>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</si>
  <si>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</si>
  <si>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</si>
  <si>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</si>
  <si>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</si>
  <si>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</si>
  <si>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</si>
  <si>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</si>
  <si>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</si>
  <si>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</si>
  <si>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</si>
  <si>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</si>
  <si>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</si>
  <si>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Ash, dry </t>
  </si>
  <si>
    <t xml:space="preserve">IM, </t>
  </si>
  <si>
    <t xml:space="preserve">Vol, % ad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</si>
  <si>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</si>
  <si>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</si>
  <si>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</si>
  <si>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</si>
  <si>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</si>
  <si>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</si>
  <si>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</si>
  <si>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</si>
  <si>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</si>
  <si>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</si>
  <si>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</si>
  <si>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</si>
  <si>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</si>
  <si>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</si>
  <si>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</si>
  <si>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</si>
  <si>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</si>
  <si>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</si>
  <si>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</si>
  <si>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</si>
  <si>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</si>
  <si>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</si>
  <si>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</si>
  <si>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</si>
  <si>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</si>
  <si>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</si>
  <si>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</si>
  <si>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</si>
  <si>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 xml:space="preserve">Sample Name_Composite Product </t>
  </si>
  <si>
    <t xml:space="preserve">Composite Product Analysis </t>
  </si>
  <si>
    <t>Sample Laboratory ID</t>
  </si>
  <si>
    <t>Float and Sink</t>
  </si>
  <si>
    <t>PR8_B35_4AU_01-08</t>
  </si>
  <si>
    <t>#19_21</t>
  </si>
  <si>
    <t>TRD,d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</si>
</sst>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  <numFmt numFmtId="167" formatCode="_(* #,##0.0_);_(* \(#,##0.0\);_(* &quot;-&quot;??_);_(@_)"/>
    <numFmt numFmtId="168" formatCode="#,##0.00#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168" fontId="14" fillId="9" borderId="17" applyNumberFormat="0" applyBorder="0" applyAlignment="0" applyProtection="0">
      <alignment horizontal="center" vertical="center"/>
    </xf>
  </cellStyleXfs>
  <cellXfs count="13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9" fontId="3" fillId="0" borderId="7" xfId="2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9" fontId="3" fillId="0" borderId="9" xfId="2" applyFont="1" applyBorder="1" applyAlignment="1">
      <alignment horizontal="center"/>
    </xf>
    <xf numFmtId="0" fontId="3" fillId="0" borderId="8" xfId="0" applyFont="1" applyBorder="1"/>
    <xf numFmtId="0" fontId="3" fillId="0" borderId="10" xfId="0" applyFont="1" applyBorder="1"/>
    <xf numFmtId="0" fontId="3" fillId="0" borderId="9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9" fontId="3" fillId="0" borderId="11" xfId="2" applyFont="1" applyBorder="1"/>
    <xf numFmtId="0" fontId="3" fillId="0" borderId="9" xfId="0" applyFont="1" applyBorder="1" applyAlignment="1">
      <alignment horizontal="right"/>
    </xf>
    <xf numFmtId="9" fontId="3" fillId="0" borderId="1" xfId="2" applyFont="1" applyBorder="1"/>
    <xf numFmtId="0" fontId="3" fillId="0" borderId="13" xfId="0" applyFont="1" applyBorder="1" applyAlignment="1">
      <alignment horizontal="right"/>
    </xf>
    <xf numFmtId="164" fontId="3" fillId="0" borderId="2" xfId="1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10" xfId="0" applyFont="1" applyBorder="1" applyAlignment="1">
      <alignment horizontal="right"/>
    </xf>
    <xf numFmtId="164" fontId="3" fillId="0" borderId="11" xfId="0" applyNumberFormat="1" applyFont="1" applyBorder="1"/>
    <xf numFmtId="164" fontId="3" fillId="0" borderId="1" xfId="0" applyNumberFormat="1" applyFont="1" applyBorder="1"/>
    <xf numFmtId="164" fontId="3" fillId="0" borderId="4" xfId="1" applyNumberFormat="1" applyFont="1" applyBorder="1" applyAlignment="1">
      <alignment horizontal="center" vertical="center"/>
    </xf>
    <xf numFmtId="0" fontId="3" fillId="0" borderId="5" xfId="0" applyFont="1" applyBorder="1"/>
    <xf numFmtId="0" fontId="2" fillId="0" borderId="8" xfId="0" applyFont="1" applyBorder="1"/>
    <xf numFmtId="0" fontId="2" fillId="0" borderId="10" xfId="0" applyFont="1" applyBorder="1"/>
    <xf numFmtId="0" fontId="6" fillId="0" borderId="10" xfId="0" applyFont="1" applyBorder="1"/>
    <xf numFmtId="0" fontId="0" fillId="0" borderId="10" xfId="0" applyBorder="1"/>
    <xf numFmtId="0" fontId="0" fillId="0" borderId="9" xfId="0" applyBorder="1"/>
    <xf numFmtId="0" fontId="0" fillId="0" borderId="16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7" fillId="4" borderId="6" xfId="0" quotePrefix="1" applyNumberFormat="1" applyFont="1" applyFill="1" applyBorder="1" applyAlignment="1">
      <alignment horizontal="center"/>
    </xf>
    <xf numFmtId="165" fontId="7" fillId="4" borderId="6" xfId="0" applyNumberFormat="1" applyFont="1" applyFill="1" applyBorder="1" applyAlignment="1">
      <alignment horizontal="center"/>
    </xf>
    <xf numFmtId="2" fontId="7" fillId="4" borderId="6" xfId="0" applyNumberFormat="1" applyFont="1" applyFill="1" applyBorder="1" applyAlignment="1">
      <alignment horizontal="center"/>
    </xf>
    <xf numFmtId="164" fontId="0" fillId="0" borderId="0" xfId="1" applyNumberFormat="1" applyFont="1"/>
    <xf numFmtId="2" fontId="8" fillId="4" borderId="6" xfId="0" applyNumberFormat="1" applyFont="1" applyFill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165" fontId="10" fillId="0" borderId="9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0" fontId="0" fillId="0" borderId="0" xfId="0" quotePrefix="1"/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6" borderId="0" xfId="0" applyFill="1"/>
    <xf numFmtId="164" fontId="3" fillId="6" borderId="2" xfId="1" applyNumberFormat="1" applyFont="1" applyFill="1" applyBorder="1" applyAlignment="1">
      <alignment horizontal="center" vertical="center"/>
    </xf>
    <xf numFmtId="14" fontId="0" fillId="6" borderId="0" xfId="0" applyNumberFormat="1" applyFill="1"/>
    <xf numFmtId="0" fontId="3" fillId="2" borderId="8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14" fontId="0" fillId="0" borderId="0" xfId="0" applyNumberFormat="1"/>
    <xf numFmtId="164" fontId="7" fillId="7" borderId="18" xfId="1" applyNumberFormat="1" applyFont="1" applyFill="1" applyBorder="1" applyAlignment="1">
      <alignment horizontal="center"/>
    </xf>
    <xf numFmtId="164" fontId="7" fillId="7" borderId="19" xfId="1" applyNumberFormat="1" applyFont="1" applyFill="1" applyBorder="1" applyAlignment="1">
      <alignment horizontal="center"/>
    </xf>
    <xf numFmtId="2" fontId="7" fillId="7" borderId="18" xfId="0" applyNumberFormat="1" applyFont="1" applyFill="1" applyBorder="1" applyAlignment="1">
      <alignment horizontal="center"/>
    </xf>
    <xf numFmtId="2" fontId="7" fillId="7" borderId="19" xfId="0" applyNumberFormat="1" applyFont="1" applyFill="1" applyBorder="1" applyAlignment="1">
      <alignment horizontal="center"/>
    </xf>
    <xf numFmtId="2" fontId="7" fillId="4" borderId="20" xfId="0" applyNumberFormat="1" applyFont="1" applyFill="1" applyBorder="1" applyAlignment="1">
      <alignment horizontal="center"/>
    </xf>
    <xf numFmtId="2" fontId="7" fillId="4" borderId="2" xfId="0" applyNumberFormat="1" applyFont="1" applyFill="1" applyBorder="1" applyAlignment="1">
      <alignment horizontal="center"/>
    </xf>
    <xf numFmtId="164" fontId="7" fillId="0" borderId="18" xfId="1" applyNumberFormat="1" applyFont="1" applyFill="1" applyBorder="1" applyAlignment="1">
      <alignment horizontal="center"/>
    </xf>
    <xf numFmtId="164" fontId="7" fillId="0" borderId="19" xfId="1" applyNumberFormat="1" applyFont="1" applyFill="1" applyBorder="1" applyAlignment="1">
      <alignment horizontal="center"/>
    </xf>
    <xf numFmtId="2" fontId="7" fillId="0" borderId="18" xfId="0" applyNumberFormat="1" applyFont="1" applyFill="1" applyBorder="1" applyAlignment="1">
      <alignment horizontal="center"/>
    </xf>
    <xf numFmtId="2" fontId="7" fillId="0" borderId="19" xfId="0" applyNumberFormat="1" applyFont="1" applyFill="1" applyBorder="1" applyAlignment="1">
      <alignment horizontal="center"/>
    </xf>
    <xf numFmtId="43" fontId="3" fillId="0" borderId="18" xfId="1" applyNumberFormat="1" applyFont="1" applyFill="1" applyBorder="1" applyAlignment="1">
      <alignment horizontal="center" vertical="center"/>
    </xf>
    <xf numFmtId="43" fontId="3" fillId="0" borderId="18" xfId="0" applyNumberFormat="1" applyFont="1" applyFill="1" applyBorder="1"/>
    <xf numFmtId="43" fontId="3" fillId="0" borderId="17" xfId="1" applyNumberFormat="1" applyFont="1" applyFill="1" applyBorder="1" applyAlignment="1">
      <alignment horizontal="center" vertical="center"/>
    </xf>
    <xf numFmtId="43" fontId="3" fillId="0" borderId="19" xfId="1" applyNumberFormat="1" applyFont="1" applyFill="1" applyBorder="1" applyAlignment="1">
      <alignment horizontal="center" vertical="center"/>
    </xf>
    <xf numFmtId="166" fontId="3" fillId="0" borderId="18" xfId="2" applyNumberFormat="1" applyFont="1" applyFill="1" applyBorder="1"/>
    <xf numFmtId="166" fontId="3" fillId="0" borderId="18" xfId="0" applyNumberFormat="1" applyFont="1" applyFill="1" applyBorder="1"/>
    <xf numFmtId="1" fontId="0" fillId="0" borderId="1" xfId="0" applyNumberFormat="1" applyFill="1" applyBorder="1" applyAlignment="1">
      <alignment horizontal="right"/>
    </xf>
    <xf numFmtId="2" fontId="0" fillId="0" borderId="1" xfId="0" applyNumberFormat="1" applyFill="1" applyBorder="1" applyAlignment="1">
      <alignment horizontal="right"/>
    </xf>
    <xf numFmtId="43" fontId="3" fillId="8" borderId="18" xfId="0" applyNumberFormat="1" applyFont="1" applyFill="1" applyBorder="1"/>
    <xf numFmtId="43" fontId="3" fillId="8" borderId="19" xfId="0" applyNumberFormat="1" applyFont="1" applyFill="1" applyBorder="1"/>
    <xf numFmtId="0" fontId="3" fillId="8" borderId="0" xfId="0" applyFont="1" applyFill="1"/>
    <xf numFmtId="167" fontId="3" fillId="8" borderId="18" xfId="0" applyNumberFormat="1" applyFont="1" applyFill="1" applyBorder="1"/>
    <xf numFmtId="167" fontId="3" fillId="8" borderId="19" xfId="0" applyNumberFormat="1" applyFont="1" applyFill="1" applyBorder="1"/>
    <xf numFmtId="2" fontId="7" fillId="8" borderId="18" xfId="0" applyNumberFormat="1" applyFont="1" applyFill="1" applyBorder="1" applyAlignment="1">
      <alignment horizontal="center"/>
    </xf>
    <xf numFmtId="2" fontId="7" fillId="8" borderId="19" xfId="0" applyNumberFormat="1" applyFont="1" applyFill="1" applyBorder="1" applyAlignment="1">
      <alignment horizontal="center"/>
    </xf>
    <xf numFmtId="166" fontId="0" fillId="8" borderId="1" xfId="0" applyNumberFormat="1" applyFill="1" applyBorder="1" applyAlignment="1">
      <alignment horizontal="right"/>
    </xf>
    <xf numFmtId="9" fontId="3" fillId="0" borderId="9" xfId="2" applyFont="1" applyBorder="1" applyAlignment="1">
      <alignment horizontal="center"/>
    </xf>
    <xf numFmtId="43" fontId="3" fillId="6" borderId="6" xfId="1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167" fontId="7" fillId="0" borderId="18" xfId="1" applyNumberFormat="1" applyFont="1" applyFill="1" applyBorder="1" applyAlignment="1">
      <alignment horizontal="center"/>
    </xf>
    <xf numFmtId="43" fontId="7" fillId="0" borderId="18" xfId="1" applyNumberFormat="1" applyFont="1" applyFill="1" applyBorder="1" applyAlignment="1">
      <alignment horizontal="center"/>
    </xf>
    <xf numFmtId="167" fontId="7" fillId="0" borderId="19" xfId="1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5">
    <cellStyle name="CalculatedData" xfId="4" xr:uid="{00000000-0005-0000-0000-000000000000}"/>
    <cellStyle name="Comma" xfId="1" builtinId="3"/>
    <cellStyle name="Normal" xfId="0" builtinId="0"/>
    <cellStyle name="Normal 3" xfId="3" xr:uid="{00000000-0005-0000-0000-000003000000}"/>
    <cellStyle name="Percent" xfId="2" builtinId="5"/>
  </cellStyles>
  <dxfs count="0"/>
  <tableStyles count="0" defaultTableStyle="TableStyleMedium2" defaultPivotStyle="PivotStyleLight16"/>
  <colors>
    <mruColors>
      <color rgb="FFCCFFCC"/>
      <color rgb="FF66FF99"/>
      <color rgb="FF99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5"/>
  <sheetViews>
    <sheetView showGridLines="0" view="pageBreakPreview" topLeftCell="A7" zoomScale="120" zoomScaleNormal="100" zoomScaleSheetLayoutView="120" workbookViewId="0">
      <selection activeCell="C9" sqref="C9"/>
    </sheetView>
  </sheetViews>
  <sheetFormatPr defaultRowHeight="15" x14ac:dyDescent="0.25"/>
  <cols>
    <col min="1" max="1" width="4.140625" customWidth="1"/>
    <col min="2" max="2" width="24.85546875" customWidth="1"/>
    <col min="3" max="3" width="26.85546875" bestFit="1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s="77" t="s">
        <v>98</v>
      </c>
    </row>
    <row r="2" spans="2:10" x14ac:dyDescent="0.25">
      <c r="B2" s="1" t="s">
        <v>96</v>
      </c>
      <c r="C2" s="77" t="s">
        <v>99</v>
      </c>
    </row>
    <row r="3" spans="2:10" x14ac:dyDescent="0.25">
      <c r="B3" s="1" t="s">
        <v>2</v>
      </c>
      <c r="C3" s="77"/>
    </row>
    <row r="4" spans="2:10" x14ac:dyDescent="0.25">
      <c r="B4" s="1" t="s">
        <v>3</v>
      </c>
      <c r="C4" s="77"/>
    </row>
    <row r="5" spans="2:10" x14ac:dyDescent="0.25">
      <c r="B5" s="1" t="s">
        <v>4</v>
      </c>
      <c r="C5" s="79">
        <v>43668</v>
      </c>
    </row>
    <row r="7" spans="2:10" x14ac:dyDescent="0.25">
      <c r="B7" s="80" t="s">
        <v>5</v>
      </c>
      <c r="C7" s="81" t="str">
        <f>C2</f>
        <v>#19_21</v>
      </c>
      <c r="D7" s="4"/>
      <c r="E7" s="4"/>
      <c r="F7" s="4"/>
      <c r="G7" s="4"/>
      <c r="H7" s="4"/>
      <c r="I7" s="4"/>
      <c r="J7" s="4"/>
    </row>
    <row r="8" spans="2:10" x14ac:dyDescent="0.25">
      <c r="B8" s="80" t="s">
        <v>6</v>
      </c>
      <c r="C8" s="102">
        <v>326</v>
      </c>
      <c r="E8" s="6"/>
      <c r="F8" s="6"/>
    </row>
    <row r="9" spans="2:10" x14ac:dyDescent="0.25">
      <c r="B9" s="80" t="s">
        <v>7</v>
      </c>
      <c r="C9" s="102" t="s">
        <v>9</v>
      </c>
    </row>
    <row r="10" spans="2:10" x14ac:dyDescent="0.25">
      <c r="B10" s="80" t="s">
        <v>8</v>
      </c>
      <c r="C10" s="102">
        <v>0.84</v>
      </c>
    </row>
    <row r="11" spans="2:10" x14ac:dyDescent="0.25">
      <c r="B11" s="80" t="s">
        <v>10</v>
      </c>
      <c r="C11" s="102">
        <v>25.52</v>
      </c>
    </row>
    <row r="12" spans="2:10" x14ac:dyDescent="0.25">
      <c r="B12" s="80" t="s">
        <v>11</v>
      </c>
      <c r="C12" s="102">
        <v>21.88</v>
      </c>
    </row>
    <row r="13" spans="2:10" x14ac:dyDescent="0.25">
      <c r="B13" s="80" t="s">
        <v>12</v>
      </c>
      <c r="C13" s="110">
        <v>2.5</v>
      </c>
    </row>
    <row r="14" spans="2:10" x14ac:dyDescent="0.25">
      <c r="B14" s="80" t="s">
        <v>13</v>
      </c>
      <c r="C14" s="101">
        <v>50</v>
      </c>
    </row>
    <row r="15" spans="2:10" x14ac:dyDescent="0.25">
      <c r="B15" s="80" t="s">
        <v>14</v>
      </c>
      <c r="C15" s="102">
        <v>0.96</v>
      </c>
    </row>
    <row r="16" spans="2:10" x14ac:dyDescent="0.25">
      <c r="B16" s="80" t="s">
        <v>100</v>
      </c>
      <c r="C16" s="102">
        <v>1.55</v>
      </c>
    </row>
    <row r="17" spans="2:3" x14ac:dyDescent="0.25">
      <c r="B17" s="8"/>
    </row>
    <row r="19" spans="2:3" x14ac:dyDescent="0.25">
      <c r="B19" s="9" t="s">
        <v>16</v>
      </c>
    </row>
    <row r="20" spans="2:3" ht="29.45" customHeight="1" x14ac:dyDescent="0.25">
      <c r="B20" s="10" t="s">
        <v>17</v>
      </c>
      <c r="C20" s="3"/>
    </row>
    <row r="21" spans="2:3" x14ac:dyDescent="0.25">
      <c r="B21" s="2" t="s">
        <v>18</v>
      </c>
      <c r="C21" s="5"/>
    </row>
    <row r="22" spans="2:3" x14ac:dyDescent="0.25">
      <c r="B22" s="11"/>
      <c r="C22" s="5"/>
    </row>
    <row r="23" spans="2:3" x14ac:dyDescent="0.25">
      <c r="B23" s="2" t="s">
        <v>19</v>
      </c>
      <c r="C23" s="7"/>
    </row>
    <row r="24" spans="2:3" x14ac:dyDescent="0.25">
      <c r="B24" s="2" t="s">
        <v>20</v>
      </c>
      <c r="C24" s="7"/>
    </row>
    <row r="25" spans="2:3" x14ac:dyDescent="0.25">
      <c r="B25" s="2" t="s">
        <v>21</v>
      </c>
      <c r="C25" s="5"/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8"/>
  <sheetViews>
    <sheetView showGridLines="0" view="pageBreakPreview" topLeftCell="A13" zoomScaleNormal="100" zoomScaleSheetLayoutView="100" workbookViewId="0">
      <selection activeCell="I37" sqref="I37"/>
    </sheetView>
  </sheetViews>
  <sheetFormatPr defaultColWidth="8.85546875" defaultRowHeight="14.25" x14ac:dyDescent="0.2"/>
  <cols>
    <col min="1" max="1" width="3.85546875" style="13" customWidth="1"/>
    <col min="2" max="2" width="31.140625" style="13" customWidth="1"/>
    <col min="3" max="3" width="10.140625" style="13" customWidth="1"/>
    <col min="4" max="4" width="13.85546875" style="13" customWidth="1"/>
    <col min="5" max="5" width="9.42578125" style="13" bestFit="1" customWidth="1"/>
    <col min="6" max="6" width="3.5703125" style="13" customWidth="1"/>
    <col min="7" max="7" width="8.85546875" style="13"/>
    <col min="8" max="8" width="11.7109375" style="13" bestFit="1" customWidth="1"/>
    <col min="9" max="9" width="13.140625" style="13" bestFit="1" customWidth="1"/>
    <col min="10" max="16384" width="8.85546875" style="13"/>
  </cols>
  <sheetData>
    <row r="2" spans="2:5" x14ac:dyDescent="0.2">
      <c r="B2" s="12" t="s">
        <v>0</v>
      </c>
      <c r="C2" s="120" t="str">
        <f>'Raw Coal analysis'!C1</f>
        <v>PR8_B35_4AU_01-08</v>
      </c>
      <c r="D2" s="120"/>
    </row>
    <row r="3" spans="2:5" x14ac:dyDescent="0.2">
      <c r="B3" s="12" t="s">
        <v>1</v>
      </c>
      <c r="C3" s="120" t="s">
        <v>22</v>
      </c>
      <c r="D3" s="120"/>
    </row>
    <row r="4" spans="2:5" x14ac:dyDescent="0.2">
      <c r="B4" s="12" t="s">
        <v>2</v>
      </c>
      <c r="C4" s="120">
        <f>'Raw Coal analysis'!C3</f>
        <v>0</v>
      </c>
      <c r="D4" s="120"/>
    </row>
    <row r="5" spans="2:5" x14ac:dyDescent="0.2">
      <c r="B5" s="12" t="s">
        <v>3</v>
      </c>
      <c r="C5" s="120">
        <f>'Raw Coal analysis'!C4</f>
        <v>0</v>
      </c>
      <c r="D5" s="120"/>
    </row>
    <row r="6" spans="2:5" x14ac:dyDescent="0.2">
      <c r="B6" s="12" t="s">
        <v>4</v>
      </c>
      <c r="C6" s="119">
        <f>'Raw Coal analysis'!C5</f>
        <v>43668</v>
      </c>
      <c r="D6" s="119"/>
    </row>
    <row r="8" spans="2:5" ht="42.75" x14ac:dyDescent="0.2">
      <c r="B8" s="14" t="s">
        <v>23</v>
      </c>
      <c r="C8" s="15" t="s">
        <v>24</v>
      </c>
      <c r="D8" s="16" t="s">
        <v>25</v>
      </c>
      <c r="E8" s="16" t="s">
        <v>26</v>
      </c>
    </row>
    <row r="9" spans="2:5" x14ac:dyDescent="0.2">
      <c r="B9" s="17" t="s">
        <v>27</v>
      </c>
      <c r="C9" s="18"/>
      <c r="D9" s="113">
        <v>326</v>
      </c>
      <c r="E9" s="19"/>
    </row>
    <row r="10" spans="2:5" x14ac:dyDescent="0.2">
      <c r="B10" s="20"/>
      <c r="C10" s="21" t="s">
        <v>28</v>
      </c>
      <c r="D10" s="114">
        <v>13.3</v>
      </c>
      <c r="E10" s="22">
        <f>D10/$D$14</f>
        <v>4.2061986084756489E-2</v>
      </c>
    </row>
    <row r="11" spans="2:5" x14ac:dyDescent="0.2">
      <c r="B11" s="20" t="s">
        <v>29</v>
      </c>
      <c r="C11" s="21"/>
      <c r="D11" s="114">
        <v>302.89999999999998</v>
      </c>
      <c r="E11" s="22">
        <f>D11/$D$14</f>
        <v>0.95793801391524347</v>
      </c>
    </row>
    <row r="12" spans="2:5" x14ac:dyDescent="0.2">
      <c r="B12" s="23" t="s">
        <v>30</v>
      </c>
      <c r="C12" s="24"/>
      <c r="D12" s="25">
        <f>D9-(D10+D11)</f>
        <v>9.8000000000000114</v>
      </c>
      <c r="E12" s="26">
        <f>D12/D9</f>
        <v>3.0061349693251568E-2</v>
      </c>
    </row>
    <row r="13" spans="2:5" ht="7.15" customHeight="1" x14ac:dyDescent="0.2">
      <c r="B13" s="27"/>
      <c r="C13" s="28"/>
      <c r="D13" s="28"/>
      <c r="E13" s="29"/>
    </row>
    <row r="14" spans="2:5" x14ac:dyDescent="0.2">
      <c r="B14" s="30" t="s">
        <v>31</v>
      </c>
      <c r="C14" s="31"/>
      <c r="D14" s="118">
        <f>D10+D11</f>
        <v>316.2</v>
      </c>
      <c r="E14" s="32">
        <f>D14/D9</f>
        <v>0.96993865030674842</v>
      </c>
    </row>
    <row r="15" spans="2:5" x14ac:dyDescent="0.2">
      <c r="B15" s="24" t="s">
        <v>32</v>
      </c>
      <c r="C15" s="33"/>
      <c r="D15" s="25">
        <v>326</v>
      </c>
      <c r="E15" s="34">
        <f>D15/D9</f>
        <v>1</v>
      </c>
    </row>
    <row r="16" spans="2:5" ht="6" customHeight="1" x14ac:dyDescent="0.2"/>
    <row r="17" spans="2:10" ht="28.5" x14ac:dyDescent="0.2">
      <c r="B17" s="14" t="s">
        <v>33</v>
      </c>
      <c r="C17" s="15" t="s">
        <v>24</v>
      </c>
      <c r="D17" s="16" t="s">
        <v>25</v>
      </c>
      <c r="E17" s="16" t="s">
        <v>26</v>
      </c>
      <c r="G17" s="16" t="s">
        <v>8</v>
      </c>
      <c r="H17" s="16" t="s">
        <v>10</v>
      </c>
    </row>
    <row r="18" spans="2:10" x14ac:dyDescent="0.2">
      <c r="B18" s="18" t="s">
        <v>27</v>
      </c>
      <c r="C18" s="35"/>
      <c r="D18" s="78">
        <v>100</v>
      </c>
      <c r="E18" s="19" t="s">
        <v>9</v>
      </c>
      <c r="G18" s="36" t="s">
        <v>9</v>
      </c>
      <c r="H18" s="36" t="s">
        <v>9</v>
      </c>
    </row>
    <row r="19" spans="2:10" x14ac:dyDescent="0.2">
      <c r="B19" s="21" t="s">
        <v>29</v>
      </c>
      <c r="C19" s="37" t="s">
        <v>34</v>
      </c>
      <c r="D19" s="112">
        <v>8</v>
      </c>
      <c r="E19" s="22">
        <f>D19/$D$28</f>
        <v>8.0240722166499495E-2</v>
      </c>
      <c r="G19" s="97">
        <v>1.08</v>
      </c>
      <c r="H19" s="97">
        <v>42.96</v>
      </c>
    </row>
    <row r="20" spans="2:10" x14ac:dyDescent="0.2">
      <c r="B20" s="21" t="s">
        <v>35</v>
      </c>
      <c r="C20" s="37" t="s">
        <v>36</v>
      </c>
      <c r="D20" s="112">
        <v>11.7</v>
      </c>
      <c r="E20" s="22">
        <f t="shared" ref="E20:E25" si="0">D20/$D$28</f>
        <v>0.11735205616850551</v>
      </c>
      <c r="G20" s="95">
        <v>1.05</v>
      </c>
      <c r="H20" s="95">
        <v>33.369999999999997</v>
      </c>
    </row>
    <row r="21" spans="2:10" x14ac:dyDescent="0.2">
      <c r="B21" s="21" t="s">
        <v>37</v>
      </c>
      <c r="C21" s="37" t="s">
        <v>38</v>
      </c>
      <c r="D21" s="112">
        <v>16.600000000000001</v>
      </c>
      <c r="E21" s="22">
        <f t="shared" si="0"/>
        <v>0.16649949849548648</v>
      </c>
      <c r="G21" s="95">
        <v>0.9</v>
      </c>
      <c r="H21" s="95">
        <v>26.45</v>
      </c>
    </row>
    <row r="22" spans="2:10" x14ac:dyDescent="0.2">
      <c r="B22" s="21" t="s">
        <v>39</v>
      </c>
      <c r="C22" s="37" t="s">
        <v>40</v>
      </c>
      <c r="D22" s="112">
        <v>13.7</v>
      </c>
      <c r="E22" s="22">
        <f t="shared" si="0"/>
        <v>0.13741223671013039</v>
      </c>
      <c r="G22" s="95">
        <v>0.91</v>
      </c>
      <c r="H22" s="95">
        <v>26.25</v>
      </c>
    </row>
    <row r="23" spans="2:10" x14ac:dyDescent="0.2">
      <c r="B23" s="21" t="s">
        <v>41</v>
      </c>
      <c r="C23" s="37" t="s">
        <v>42</v>
      </c>
      <c r="D23" s="112">
        <v>17.7</v>
      </c>
      <c r="E23" s="22">
        <f t="shared" si="0"/>
        <v>0.17753259779338013</v>
      </c>
      <c r="G23" s="95">
        <v>1</v>
      </c>
      <c r="H23" s="95">
        <v>22.81</v>
      </c>
    </row>
    <row r="24" spans="2:10" x14ac:dyDescent="0.2">
      <c r="B24" s="21" t="s">
        <v>43</v>
      </c>
      <c r="C24" s="37" t="s">
        <v>44</v>
      </c>
      <c r="D24" s="112">
        <v>11.7</v>
      </c>
      <c r="E24" s="22">
        <f t="shared" si="0"/>
        <v>0.11735205616850551</v>
      </c>
      <c r="G24" s="95">
        <v>1</v>
      </c>
      <c r="H24" s="95">
        <v>19.760000000000002</v>
      </c>
    </row>
    <row r="25" spans="2:10" x14ac:dyDescent="0.2">
      <c r="B25" s="38" t="s">
        <v>45</v>
      </c>
      <c r="C25" s="39" t="s">
        <v>46</v>
      </c>
      <c r="D25" s="112">
        <v>20.3</v>
      </c>
      <c r="E25" s="22">
        <f t="shared" si="0"/>
        <v>0.20361083249749248</v>
      </c>
      <c r="G25" s="98">
        <v>0.99</v>
      </c>
      <c r="H25" s="98">
        <v>21.87</v>
      </c>
    </row>
    <row r="26" spans="2:10" x14ac:dyDescent="0.2">
      <c r="B26" s="24" t="s">
        <v>30</v>
      </c>
      <c r="C26" s="40"/>
      <c r="D26" s="25">
        <f>D18-SUM(D19:D25)</f>
        <v>0.29999999999999716</v>
      </c>
      <c r="E26" s="111">
        <f>D26/D18</f>
        <v>2.9999999999999714E-3</v>
      </c>
    </row>
    <row r="27" spans="2:10" ht="7.9" customHeight="1" x14ac:dyDescent="0.2">
      <c r="B27" s="27"/>
      <c r="C27" s="28"/>
      <c r="D27" s="28"/>
      <c r="E27" s="29"/>
    </row>
    <row r="28" spans="2:10" x14ac:dyDescent="0.2">
      <c r="B28" s="30" t="s">
        <v>31</v>
      </c>
      <c r="C28" s="31"/>
      <c r="D28" s="41">
        <f>SUM(D19:D25)</f>
        <v>99.7</v>
      </c>
      <c r="E28" s="32">
        <f>D28/D18</f>
        <v>0.997</v>
      </c>
    </row>
    <row r="29" spans="2:10" x14ac:dyDescent="0.2">
      <c r="B29" s="24" t="s">
        <v>32</v>
      </c>
      <c r="C29" s="33"/>
      <c r="D29" s="42">
        <f>SUM(D19:D25)+D26</f>
        <v>100</v>
      </c>
      <c r="E29" s="34">
        <f>D29/D18</f>
        <v>1</v>
      </c>
    </row>
    <row r="31" spans="2:10" ht="28.5" x14ac:dyDescent="0.2">
      <c r="B31" s="14" t="s">
        <v>47</v>
      </c>
      <c r="C31" s="15" t="s">
        <v>24</v>
      </c>
      <c r="D31" s="16" t="s">
        <v>25</v>
      </c>
      <c r="E31" s="16" t="s">
        <v>26</v>
      </c>
      <c r="F31" s="4"/>
      <c r="G31" s="16" t="s">
        <v>8</v>
      </c>
      <c r="H31" s="16" t="s">
        <v>10</v>
      </c>
      <c r="I31" s="82" t="s">
        <v>14</v>
      </c>
      <c r="J31" s="82" t="s">
        <v>66</v>
      </c>
    </row>
    <row r="32" spans="2:10" x14ac:dyDescent="0.2">
      <c r="B32" s="18" t="s">
        <v>27</v>
      </c>
      <c r="C32" s="35"/>
      <c r="D32" s="78">
        <v>50</v>
      </c>
      <c r="E32" s="19" t="s">
        <v>9</v>
      </c>
      <c r="G32" s="43" t="s">
        <v>9</v>
      </c>
      <c r="H32" s="36" t="s">
        <v>9</v>
      </c>
      <c r="I32" s="44"/>
      <c r="J32" s="83"/>
    </row>
    <row r="33" spans="2:10" x14ac:dyDescent="0.2">
      <c r="B33" s="21" t="s">
        <v>29</v>
      </c>
      <c r="C33" s="37" t="s">
        <v>34</v>
      </c>
      <c r="D33" s="112">
        <v>3.2</v>
      </c>
      <c r="E33" s="22">
        <f>D33/$D$47</f>
        <v>6.4000000000000001E-2</v>
      </c>
      <c r="G33" s="95">
        <v>0.84</v>
      </c>
      <c r="H33" s="95">
        <v>56.62</v>
      </c>
      <c r="I33" s="96">
        <v>0.47</v>
      </c>
      <c r="J33" s="99">
        <v>0</v>
      </c>
    </row>
    <row r="34" spans="2:10" x14ac:dyDescent="0.2">
      <c r="B34" s="21" t="s">
        <v>35</v>
      </c>
      <c r="C34" s="39" t="s">
        <v>36</v>
      </c>
      <c r="D34" s="112">
        <v>3.8</v>
      </c>
      <c r="E34" s="22">
        <f t="shared" ref="E34:E44" si="1">D34/$D$47</f>
        <v>7.5999999999999984E-2</v>
      </c>
      <c r="G34" s="95">
        <v>0.89</v>
      </c>
      <c r="H34" s="95">
        <v>27.84</v>
      </c>
      <c r="I34" s="96">
        <v>0.55000000000000004</v>
      </c>
      <c r="J34" s="100">
        <v>1</v>
      </c>
    </row>
    <row r="35" spans="2:10" x14ac:dyDescent="0.2">
      <c r="B35" s="21" t="s">
        <v>37</v>
      </c>
      <c r="C35" s="39" t="s">
        <v>38</v>
      </c>
      <c r="D35" s="112">
        <v>6.4</v>
      </c>
      <c r="E35" s="22">
        <f t="shared" si="1"/>
        <v>0.128</v>
      </c>
      <c r="G35" s="95">
        <v>0.82</v>
      </c>
      <c r="H35" s="95">
        <v>26.23</v>
      </c>
      <c r="I35" s="96">
        <v>0.66</v>
      </c>
      <c r="J35" s="100">
        <v>1.5</v>
      </c>
    </row>
    <row r="36" spans="2:10" x14ac:dyDescent="0.2">
      <c r="B36" s="21" t="s">
        <v>39</v>
      </c>
      <c r="C36" s="39" t="s">
        <v>40</v>
      </c>
      <c r="D36" s="112">
        <v>6.3</v>
      </c>
      <c r="E36" s="22">
        <f t="shared" si="1"/>
        <v>0.12599999999999997</v>
      </c>
      <c r="G36" s="95">
        <v>0.82</v>
      </c>
      <c r="H36" s="95">
        <v>26.32</v>
      </c>
      <c r="I36" s="96">
        <v>0.68</v>
      </c>
      <c r="J36" s="100">
        <v>2</v>
      </c>
    </row>
    <row r="37" spans="2:10" x14ac:dyDescent="0.2">
      <c r="B37" s="21" t="s">
        <v>41</v>
      </c>
      <c r="C37" s="39" t="s">
        <v>42</v>
      </c>
      <c r="D37" s="112">
        <v>9.8000000000000007</v>
      </c>
      <c r="E37" s="22">
        <f t="shared" si="1"/>
        <v>0.19599999999999998</v>
      </c>
      <c r="G37" s="95">
        <v>0.93</v>
      </c>
      <c r="H37" s="95">
        <v>25.18</v>
      </c>
      <c r="I37" s="96">
        <v>0.7</v>
      </c>
      <c r="J37" s="100">
        <v>4</v>
      </c>
    </row>
    <row r="38" spans="2:10" x14ac:dyDescent="0.2">
      <c r="B38" s="21" t="s">
        <v>43</v>
      </c>
      <c r="C38" s="39" t="s">
        <v>44</v>
      </c>
      <c r="D38" s="112">
        <v>6.7</v>
      </c>
      <c r="E38" s="22">
        <f t="shared" si="1"/>
        <v>0.13399999999999998</v>
      </c>
      <c r="G38" s="95">
        <v>0.92</v>
      </c>
      <c r="H38" s="95">
        <v>22.41</v>
      </c>
      <c r="I38" s="96">
        <v>0.82</v>
      </c>
      <c r="J38" s="100">
        <v>6.5</v>
      </c>
    </row>
    <row r="39" spans="2:10" x14ac:dyDescent="0.2">
      <c r="B39" s="21" t="s">
        <v>45</v>
      </c>
      <c r="C39" s="39" t="s">
        <v>48</v>
      </c>
      <c r="D39" s="112">
        <v>4.7</v>
      </c>
      <c r="E39" s="22">
        <f t="shared" si="1"/>
        <v>9.3999999999999986E-2</v>
      </c>
      <c r="G39" s="95">
        <v>0.8</v>
      </c>
      <c r="H39" s="95">
        <v>21.15</v>
      </c>
      <c r="I39" s="96">
        <v>0.93</v>
      </c>
      <c r="J39" s="100">
        <v>7</v>
      </c>
    </row>
    <row r="40" spans="2:10" x14ac:dyDescent="0.2">
      <c r="B40" s="21" t="s">
        <v>49</v>
      </c>
      <c r="C40" s="39" t="s">
        <v>50</v>
      </c>
      <c r="D40" s="112">
        <v>3</v>
      </c>
      <c r="E40" s="22">
        <f t="shared" si="1"/>
        <v>5.9999999999999991E-2</v>
      </c>
      <c r="G40" s="103">
        <v>0.75</v>
      </c>
      <c r="H40" s="103">
        <v>20.47</v>
      </c>
      <c r="I40" s="103">
        <v>1.1399999999999999</v>
      </c>
      <c r="J40" s="106">
        <v>5.5</v>
      </c>
    </row>
    <row r="41" spans="2:10" x14ac:dyDescent="0.2">
      <c r="B41" s="21" t="s">
        <v>51</v>
      </c>
      <c r="C41" s="39" t="s">
        <v>52</v>
      </c>
      <c r="D41" s="112">
        <v>2</v>
      </c>
      <c r="E41" s="22">
        <f t="shared" si="1"/>
        <v>3.9999999999999994E-2</v>
      </c>
      <c r="G41" s="103">
        <v>0.72</v>
      </c>
      <c r="H41" s="103">
        <v>21.14</v>
      </c>
      <c r="I41" s="103">
        <v>1.22</v>
      </c>
      <c r="J41" s="106">
        <v>4</v>
      </c>
    </row>
    <row r="42" spans="2:10" x14ac:dyDescent="0.2">
      <c r="B42" s="21" t="s">
        <v>53</v>
      </c>
      <c r="C42" s="39" t="s">
        <v>54</v>
      </c>
      <c r="D42" s="112">
        <v>2</v>
      </c>
      <c r="E42" s="22">
        <f t="shared" si="1"/>
        <v>3.9999999999999994E-2</v>
      </c>
      <c r="G42" s="103">
        <v>0.74</v>
      </c>
      <c r="H42" s="103">
        <v>24.71</v>
      </c>
      <c r="I42" s="103">
        <v>1.39</v>
      </c>
      <c r="J42" s="106">
        <v>5</v>
      </c>
    </row>
    <row r="43" spans="2:10" x14ac:dyDescent="0.2">
      <c r="B43" s="21" t="s">
        <v>55</v>
      </c>
      <c r="C43" s="39" t="s">
        <v>56</v>
      </c>
      <c r="D43" s="112">
        <v>0.6</v>
      </c>
      <c r="E43" s="22">
        <f t="shared" si="1"/>
        <v>1.1999999999999999E-2</v>
      </c>
      <c r="G43" s="103">
        <v>0.79</v>
      </c>
      <c r="H43" s="103">
        <v>26.22</v>
      </c>
      <c r="I43" s="103">
        <v>1.57</v>
      </c>
      <c r="J43" s="106">
        <v>3</v>
      </c>
    </row>
    <row r="44" spans="2:10" x14ac:dyDescent="0.2">
      <c r="B44" s="38" t="s">
        <v>57</v>
      </c>
      <c r="C44" s="39"/>
      <c r="D44" s="112">
        <v>1.5</v>
      </c>
      <c r="E44" s="22">
        <f t="shared" si="1"/>
        <v>2.9999999999999995E-2</v>
      </c>
      <c r="G44" s="104">
        <v>0.78</v>
      </c>
      <c r="H44" s="104">
        <v>33.229999999999997</v>
      </c>
      <c r="I44" s="104">
        <v>0.87</v>
      </c>
      <c r="J44" s="107">
        <v>0.5</v>
      </c>
    </row>
    <row r="45" spans="2:10" x14ac:dyDescent="0.2">
      <c r="B45" s="24" t="s">
        <v>30</v>
      </c>
      <c r="C45" s="40"/>
      <c r="D45" s="25">
        <f>D32-SUM(D33:D44)</f>
        <v>0</v>
      </c>
      <c r="E45" s="111">
        <f>D45/D32</f>
        <v>0</v>
      </c>
      <c r="G45" s="105"/>
      <c r="H45" s="105"/>
      <c r="I45" s="105"/>
      <c r="J45" s="105"/>
    </row>
    <row r="46" spans="2:10" x14ac:dyDescent="0.2">
      <c r="B46" s="27"/>
      <c r="C46" s="28"/>
      <c r="D46" s="28"/>
      <c r="E46" s="29"/>
    </row>
    <row r="47" spans="2:10" x14ac:dyDescent="0.2">
      <c r="B47" s="30" t="s">
        <v>31</v>
      </c>
      <c r="C47" s="31"/>
      <c r="D47" s="41">
        <f>SUM(D33:D44)</f>
        <v>50.000000000000007</v>
      </c>
      <c r="E47" s="32">
        <f>D47/D32</f>
        <v>1.0000000000000002</v>
      </c>
    </row>
    <row r="48" spans="2:10" x14ac:dyDescent="0.2">
      <c r="B48" s="24" t="s">
        <v>32</v>
      </c>
      <c r="C48" s="33"/>
      <c r="D48" s="42">
        <f>SUM(D33:D44)+D45</f>
        <v>50.000000000000007</v>
      </c>
      <c r="E48" s="34">
        <f>D48/D32</f>
        <v>1.0000000000000002</v>
      </c>
    </row>
  </sheetData>
  <mergeCells count="5">
    <mergeCell ref="C6:D6"/>
    <mergeCell ref="C5:D5"/>
    <mergeCell ref="C4:D4"/>
    <mergeCell ref="C3:D3"/>
    <mergeCell ref="C2:D2"/>
  </mergeCells>
  <pageMargins left="0.7" right="0.7" top="0.75" bottom="0.75" header="0.3" footer="0.3"/>
  <pageSetup paperSize="9" scale="7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9"/>
  <sheetViews>
    <sheetView showGridLines="0" tabSelected="1" view="pageBreakPreview" topLeftCell="A7" zoomScale="87" zoomScaleNormal="100" zoomScaleSheetLayoutView="87" workbookViewId="0">
      <selection activeCell="M15" sqref="F15:M15"/>
    </sheetView>
  </sheetViews>
  <sheetFormatPr defaultRowHeight="15" x14ac:dyDescent="0.25"/>
  <cols>
    <col min="1" max="1" width="6" customWidth="1"/>
    <col min="4" max="4" width="9.85546875" customWidth="1"/>
    <col min="6" max="6" width="9.7109375" customWidth="1"/>
    <col min="7" max="7" width="10.42578125" bestFit="1" customWidth="1"/>
    <col min="12" max="12" width="13.7109375" customWidth="1"/>
    <col min="17" max="17" width="10.140625" bestFit="1" customWidth="1"/>
  </cols>
  <sheetData>
    <row r="1" spans="2:17" x14ac:dyDescent="0.25">
      <c r="B1" s="1" t="s">
        <v>0</v>
      </c>
      <c r="C1" s="1"/>
      <c r="E1" s="130" t="str">
        <f>'Raw Coal analysis'!C1</f>
        <v>PR8_B35_4AU_01-08</v>
      </c>
      <c r="F1" s="130"/>
    </row>
    <row r="2" spans="2:17" x14ac:dyDescent="0.25">
      <c r="B2" s="1" t="s">
        <v>1</v>
      </c>
      <c r="C2" s="1"/>
      <c r="E2" s="130" t="s">
        <v>97</v>
      </c>
      <c r="F2" s="130"/>
    </row>
    <row r="3" spans="2:17" x14ac:dyDescent="0.25">
      <c r="B3" s="1" t="s">
        <v>2</v>
      </c>
      <c r="C3" s="1"/>
      <c r="E3" s="130">
        <f>'Raw Coal analysis'!C3</f>
        <v>0</v>
      </c>
      <c r="F3" s="130"/>
    </row>
    <row r="4" spans="2:17" x14ac:dyDescent="0.25">
      <c r="B4" s="1" t="s">
        <v>3</v>
      </c>
      <c r="C4" s="1"/>
      <c r="E4" s="130">
        <f>'Raw Coal analysis'!C4</f>
        <v>0</v>
      </c>
      <c r="F4" s="130"/>
    </row>
    <row r="5" spans="2:17" x14ac:dyDescent="0.25">
      <c r="B5" s="1" t="s">
        <v>4</v>
      </c>
      <c r="C5" s="1"/>
      <c r="E5" s="131">
        <f>'Raw Coal analysis'!C5</f>
        <v>43668</v>
      </c>
      <c r="F5" s="131"/>
    </row>
    <row r="6" spans="2:17" x14ac:dyDescent="0.25">
      <c r="B6" s="1"/>
      <c r="C6" s="1"/>
    </row>
    <row r="7" spans="2:17" x14ac:dyDescent="0.25">
      <c r="B7" s="45"/>
      <c r="C7" s="46"/>
      <c r="D7" s="47"/>
      <c r="E7" s="48"/>
      <c r="F7" s="49"/>
      <c r="G7" s="122" t="s">
        <v>58</v>
      </c>
      <c r="H7" s="122"/>
      <c r="I7" s="122"/>
      <c r="J7" s="122"/>
      <c r="K7" s="122"/>
      <c r="L7" s="122"/>
      <c r="M7" s="123"/>
    </row>
    <row r="8" spans="2:17" ht="30" x14ac:dyDescent="0.25">
      <c r="B8" s="124" t="s">
        <v>59</v>
      </c>
      <c r="C8" s="125"/>
      <c r="D8" s="50" t="s">
        <v>60</v>
      </c>
      <c r="E8" s="126" t="s">
        <v>61</v>
      </c>
      <c r="F8" s="127"/>
      <c r="G8" s="128" t="s">
        <v>62</v>
      </c>
      <c r="H8" s="129"/>
      <c r="I8" s="51" t="s">
        <v>10</v>
      </c>
      <c r="J8" s="51" t="s">
        <v>64</v>
      </c>
      <c r="K8" s="51" t="s">
        <v>65</v>
      </c>
      <c r="L8" s="51" t="s">
        <v>14</v>
      </c>
      <c r="M8" s="51" t="s">
        <v>66</v>
      </c>
    </row>
    <row r="9" spans="2:17" x14ac:dyDescent="0.25">
      <c r="B9" s="52"/>
      <c r="C9" s="52"/>
      <c r="D9" s="52"/>
      <c r="E9" s="52" t="s">
        <v>67</v>
      </c>
      <c r="F9" s="52" t="s">
        <v>68</v>
      </c>
      <c r="G9" s="52" t="s">
        <v>69</v>
      </c>
      <c r="H9" s="52" t="s">
        <v>70</v>
      </c>
      <c r="I9" s="52" t="s">
        <v>70</v>
      </c>
      <c r="J9" s="52" t="s">
        <v>71</v>
      </c>
      <c r="K9" s="52" t="s">
        <v>72</v>
      </c>
      <c r="L9" s="52"/>
      <c r="M9" s="52"/>
    </row>
    <row r="10" spans="2:17" x14ac:dyDescent="0.25">
      <c r="B10" s="53" t="s">
        <v>73</v>
      </c>
      <c r="C10" s="54" t="s">
        <v>74</v>
      </c>
      <c r="D10" s="55"/>
      <c r="E10" s="56"/>
      <c r="F10" s="56"/>
      <c r="G10" s="56">
        <v>5000</v>
      </c>
      <c r="H10" s="56"/>
      <c r="I10" s="56"/>
      <c r="J10" s="56"/>
      <c r="K10" s="56"/>
      <c r="L10" s="56"/>
      <c r="M10" s="56"/>
    </row>
    <row r="11" spans="2:17" x14ac:dyDescent="0.25">
      <c r="B11" s="57"/>
      <c r="C11" s="58"/>
      <c r="D11" s="59"/>
      <c r="E11" s="60">
        <v>1.25</v>
      </c>
      <c r="F11" s="61">
        <v>1.3</v>
      </c>
      <c r="G11" s="91" t="s">
        <v>9</v>
      </c>
      <c r="H11" s="90" t="s">
        <v>9</v>
      </c>
      <c r="I11" s="108" t="s">
        <v>9</v>
      </c>
      <c r="J11" s="108" t="s">
        <v>9</v>
      </c>
      <c r="K11" s="108" t="s">
        <v>9</v>
      </c>
      <c r="L11" s="108" t="s">
        <v>9</v>
      </c>
      <c r="M11" s="108" t="s">
        <v>9</v>
      </c>
      <c r="Q11" s="63"/>
    </row>
    <row r="12" spans="2:17" x14ac:dyDescent="0.25">
      <c r="B12" s="57"/>
      <c r="C12" s="58"/>
      <c r="D12" s="59"/>
      <c r="E12" s="64">
        <f>F11</f>
        <v>1.3</v>
      </c>
      <c r="F12" s="61">
        <v>1.325</v>
      </c>
      <c r="G12" s="116">
        <v>38.6</v>
      </c>
      <c r="H12" s="62">
        <f t="shared" ref="H12:H24" si="0">G12/$G$25*100</f>
        <v>0.78050753209988877</v>
      </c>
      <c r="I12" s="108">
        <v>11.89</v>
      </c>
      <c r="J12" s="108">
        <v>1.03</v>
      </c>
      <c r="K12" s="108">
        <v>24.93</v>
      </c>
      <c r="L12" s="108">
        <v>0.8</v>
      </c>
      <c r="M12" s="108">
        <v>6</v>
      </c>
      <c r="Q12" s="63"/>
    </row>
    <row r="13" spans="2:17" x14ac:dyDescent="0.25">
      <c r="B13" s="57"/>
      <c r="C13" s="58"/>
      <c r="D13" s="59"/>
      <c r="E13" s="64">
        <f t="shared" ref="E13:E24" si="1">F12</f>
        <v>1.325</v>
      </c>
      <c r="F13" s="61">
        <v>1.35</v>
      </c>
      <c r="G13" s="115">
        <v>191.8</v>
      </c>
      <c r="H13" s="62">
        <f t="shared" si="0"/>
        <v>3.8782731776362351</v>
      </c>
      <c r="I13" s="108">
        <v>13.53</v>
      </c>
      <c r="J13" s="108">
        <v>0.76</v>
      </c>
      <c r="K13" s="108">
        <v>24.82</v>
      </c>
      <c r="L13" s="108">
        <v>0.8</v>
      </c>
      <c r="M13" s="108">
        <v>5.5</v>
      </c>
      <c r="Q13" s="63"/>
    </row>
    <row r="14" spans="2:17" x14ac:dyDescent="0.25">
      <c r="B14" s="57"/>
      <c r="C14" s="58"/>
      <c r="D14" s="59"/>
      <c r="E14" s="64">
        <f t="shared" si="1"/>
        <v>1.35</v>
      </c>
      <c r="F14" s="61">
        <v>1.375</v>
      </c>
      <c r="G14" s="115">
        <v>313.5</v>
      </c>
      <c r="H14" s="62">
        <f t="shared" si="0"/>
        <v>6.3390961480133452</v>
      </c>
      <c r="I14" s="108">
        <v>13.61</v>
      </c>
      <c r="J14" s="108">
        <v>1.03</v>
      </c>
      <c r="K14" s="108">
        <v>24.04</v>
      </c>
      <c r="L14" s="108">
        <v>0.79</v>
      </c>
      <c r="M14" s="108">
        <v>5.5</v>
      </c>
      <c r="Q14" s="63"/>
    </row>
    <row r="15" spans="2:17" x14ac:dyDescent="0.25">
      <c r="B15" s="57"/>
      <c r="C15" s="58"/>
      <c r="D15" s="59"/>
      <c r="E15" s="64">
        <f t="shared" si="1"/>
        <v>1.375</v>
      </c>
      <c r="F15" s="61">
        <v>1.4</v>
      </c>
      <c r="G15" s="115">
        <v>474.9</v>
      </c>
      <c r="H15" s="62">
        <f t="shared" si="0"/>
        <v>9.6026690931149528</v>
      </c>
      <c r="I15" s="108">
        <v>16.059999999999999</v>
      </c>
      <c r="J15" s="108">
        <v>0.68</v>
      </c>
      <c r="K15" s="108">
        <v>23.05</v>
      </c>
      <c r="L15" s="108">
        <v>0.8</v>
      </c>
      <c r="M15" s="108">
        <v>5.5</v>
      </c>
      <c r="Q15" s="63"/>
    </row>
    <row r="16" spans="2:17" x14ac:dyDescent="0.25">
      <c r="B16" s="57"/>
      <c r="C16" s="58"/>
      <c r="D16" s="59"/>
      <c r="E16" s="64">
        <f t="shared" si="1"/>
        <v>1.4</v>
      </c>
      <c r="F16" s="61">
        <v>1.425</v>
      </c>
      <c r="G16" s="115">
        <v>463.7</v>
      </c>
      <c r="H16" s="62">
        <f t="shared" si="0"/>
        <v>9.3762005863916684</v>
      </c>
      <c r="I16" s="108">
        <v>18.72</v>
      </c>
      <c r="J16" s="108">
        <v>0.85</v>
      </c>
      <c r="K16" s="108">
        <v>20.97</v>
      </c>
      <c r="L16" s="108">
        <v>0.79</v>
      </c>
      <c r="M16" s="108">
        <v>2</v>
      </c>
      <c r="Q16" s="63"/>
    </row>
    <row r="17" spans="2:17" x14ac:dyDescent="0.25">
      <c r="B17" s="57"/>
      <c r="C17" s="58"/>
      <c r="D17" s="59"/>
      <c r="E17" s="64">
        <f t="shared" si="1"/>
        <v>1.425</v>
      </c>
      <c r="F17" s="61">
        <v>1.45</v>
      </c>
      <c r="G17" s="115">
        <v>550.70000000000005</v>
      </c>
      <c r="H17" s="62">
        <f t="shared" si="0"/>
        <v>11.135375593974322</v>
      </c>
      <c r="I17" s="108">
        <v>20.97</v>
      </c>
      <c r="J17" s="108">
        <v>0.85</v>
      </c>
      <c r="K17" s="108">
        <v>19.89</v>
      </c>
      <c r="L17" s="108">
        <v>0.8</v>
      </c>
      <c r="M17" s="108">
        <v>1.5</v>
      </c>
      <c r="Q17" s="63"/>
    </row>
    <row r="18" spans="2:17" x14ac:dyDescent="0.25">
      <c r="B18" s="57"/>
      <c r="C18" s="58"/>
      <c r="D18" s="59"/>
      <c r="E18" s="64">
        <f t="shared" si="1"/>
        <v>1.45</v>
      </c>
      <c r="F18" s="61">
        <v>1.5</v>
      </c>
      <c r="G18" s="115">
        <v>833</v>
      </c>
      <c r="H18" s="62">
        <f t="shared" si="0"/>
        <v>16.843595187544231</v>
      </c>
      <c r="I18" s="108">
        <v>24.74</v>
      </c>
      <c r="J18" s="108">
        <v>0.94</v>
      </c>
      <c r="K18" s="108">
        <v>18.72</v>
      </c>
      <c r="L18" s="108">
        <v>0.79</v>
      </c>
      <c r="M18" s="108">
        <v>1</v>
      </c>
      <c r="Q18" s="63"/>
    </row>
    <row r="19" spans="2:17" x14ac:dyDescent="0.25">
      <c r="B19" s="57"/>
      <c r="C19" s="58"/>
      <c r="D19" s="59"/>
      <c r="E19" s="64">
        <f t="shared" si="1"/>
        <v>1.5</v>
      </c>
      <c r="F19" s="61">
        <v>1.6</v>
      </c>
      <c r="G19" s="115">
        <v>1217.9000000000001</v>
      </c>
      <c r="H19" s="62">
        <f t="shared" si="0"/>
        <v>24.626428065918514</v>
      </c>
      <c r="I19" s="108">
        <v>30.91</v>
      </c>
      <c r="J19" s="108">
        <v>1</v>
      </c>
      <c r="K19" s="108">
        <v>18.8</v>
      </c>
      <c r="L19" s="108">
        <v>0.79</v>
      </c>
      <c r="M19" s="108">
        <v>1</v>
      </c>
      <c r="Q19" s="63"/>
    </row>
    <row r="20" spans="2:17" x14ac:dyDescent="0.25">
      <c r="B20" s="57"/>
      <c r="C20" s="58"/>
      <c r="D20" s="59"/>
      <c r="E20" s="64">
        <f t="shared" si="1"/>
        <v>1.6</v>
      </c>
      <c r="F20" s="61">
        <v>1.7</v>
      </c>
      <c r="G20" s="115">
        <v>176.4</v>
      </c>
      <c r="H20" s="62">
        <f t="shared" si="0"/>
        <v>3.5668789808917198</v>
      </c>
      <c r="I20" s="108">
        <v>38.229999999999997</v>
      </c>
      <c r="J20" s="108">
        <v>1.0900000000000001</v>
      </c>
      <c r="K20" s="108">
        <v>17.61</v>
      </c>
      <c r="L20" s="108">
        <v>0.81</v>
      </c>
      <c r="M20" s="108">
        <v>0.5</v>
      </c>
      <c r="Q20" s="63"/>
    </row>
    <row r="21" spans="2:17" x14ac:dyDescent="0.25">
      <c r="B21" s="57"/>
      <c r="C21" s="58"/>
      <c r="D21" s="59"/>
      <c r="E21" s="64">
        <f t="shared" si="1"/>
        <v>1.7</v>
      </c>
      <c r="F21" s="61">
        <v>1.8</v>
      </c>
      <c r="G21" s="115">
        <v>35.5</v>
      </c>
      <c r="H21" s="62">
        <f t="shared" si="0"/>
        <v>0.71782428470326565</v>
      </c>
      <c r="I21" s="108">
        <v>43.67</v>
      </c>
      <c r="J21" s="108">
        <v>1.02</v>
      </c>
      <c r="K21" s="108">
        <v>15.99</v>
      </c>
      <c r="L21" s="108">
        <v>0.85</v>
      </c>
      <c r="M21" s="108">
        <v>0.5</v>
      </c>
      <c r="Q21" s="63"/>
    </row>
    <row r="22" spans="2:17" x14ac:dyDescent="0.25">
      <c r="B22" s="57"/>
      <c r="C22" s="58"/>
      <c r="D22" s="59"/>
      <c r="E22" s="64">
        <f t="shared" si="1"/>
        <v>1.8</v>
      </c>
      <c r="F22" s="61">
        <v>2</v>
      </c>
      <c r="G22" s="115">
        <v>80.3</v>
      </c>
      <c r="H22" s="62">
        <f t="shared" si="0"/>
        <v>1.6236983115964005</v>
      </c>
      <c r="I22" s="108">
        <v>53.77</v>
      </c>
      <c r="J22" s="108">
        <v>1.1100000000000001</v>
      </c>
      <c r="K22" s="108">
        <v>15.9</v>
      </c>
      <c r="L22" s="108">
        <v>1.25</v>
      </c>
      <c r="M22" s="108">
        <v>0.5</v>
      </c>
      <c r="Q22" s="63"/>
    </row>
    <row r="23" spans="2:17" x14ac:dyDescent="0.25">
      <c r="B23" s="57"/>
      <c r="C23" s="58"/>
      <c r="D23" s="59"/>
      <c r="E23" s="64">
        <f t="shared" si="1"/>
        <v>2</v>
      </c>
      <c r="F23" s="61">
        <v>2.2000000000000002</v>
      </c>
      <c r="G23" s="115">
        <v>71.5</v>
      </c>
      <c r="H23" s="62">
        <f t="shared" si="0"/>
        <v>1.4457587705995349</v>
      </c>
      <c r="I23" s="108">
        <v>65.89</v>
      </c>
      <c r="J23" s="108">
        <v>1.55</v>
      </c>
      <c r="K23" s="108">
        <v>12.64</v>
      </c>
      <c r="L23" s="108">
        <v>1.63</v>
      </c>
      <c r="M23" s="108">
        <v>0</v>
      </c>
      <c r="Q23" s="63"/>
    </row>
    <row r="24" spans="2:17" x14ac:dyDescent="0.25">
      <c r="B24" s="57"/>
      <c r="C24" s="58"/>
      <c r="D24" s="59"/>
      <c r="E24" s="64">
        <f t="shared" si="1"/>
        <v>2.2000000000000002</v>
      </c>
      <c r="F24" s="61">
        <v>2.8</v>
      </c>
      <c r="G24" s="117">
        <v>497.7</v>
      </c>
      <c r="H24" s="62">
        <f t="shared" si="0"/>
        <v>10.063694267515922</v>
      </c>
      <c r="I24" s="109">
        <v>75.64</v>
      </c>
      <c r="J24" s="109">
        <v>1.33</v>
      </c>
      <c r="K24" s="109">
        <v>10.81</v>
      </c>
      <c r="L24" s="109">
        <v>0.84</v>
      </c>
      <c r="M24" s="109">
        <v>0</v>
      </c>
      <c r="Q24" s="63"/>
    </row>
    <row r="25" spans="2:17" x14ac:dyDescent="0.25">
      <c r="B25" s="121" t="s">
        <v>75</v>
      </c>
      <c r="C25" s="122"/>
      <c r="D25" s="122"/>
      <c r="E25" s="65"/>
      <c r="F25" s="66"/>
      <c r="G25" s="67">
        <f>SUM(G11:G24)</f>
        <v>4945.5</v>
      </c>
      <c r="H25" s="68">
        <f>SUM(H11:H24)</f>
        <v>100.00000000000001</v>
      </c>
      <c r="I25" s="69">
        <f>SUMPRODUCT($H$11:$H$24,I11:I24)/$H$25</f>
        <v>30.006862804569806</v>
      </c>
      <c r="J25" s="69">
        <f t="shared" ref="J25:M25" si="2">SUMPRODUCT($H$11:$H$24,J11:J24)/$H$25</f>
        <v>0.96752765140026287</v>
      </c>
      <c r="K25" s="69">
        <f t="shared" si="2"/>
        <v>19.130111616621168</v>
      </c>
      <c r="L25" s="69">
        <f t="shared" si="2"/>
        <v>0.81832898594682024</v>
      </c>
      <c r="M25" s="69">
        <f t="shared" si="2"/>
        <v>1.935729451016075</v>
      </c>
    </row>
    <row r="26" spans="2:17" x14ac:dyDescent="0.25">
      <c r="B26" s="53" t="s">
        <v>76</v>
      </c>
      <c r="C26" s="54" t="s">
        <v>77</v>
      </c>
      <c r="D26" s="55"/>
      <c r="E26" s="56"/>
      <c r="F26" s="56"/>
      <c r="G26" s="56">
        <v>5000</v>
      </c>
      <c r="H26" s="56"/>
      <c r="I26" s="56"/>
      <c r="J26" s="56"/>
      <c r="K26" s="56"/>
      <c r="L26" s="56"/>
      <c r="M26" s="56"/>
    </row>
    <row r="27" spans="2:17" x14ac:dyDescent="0.25">
      <c r="B27" s="57"/>
      <c r="C27" s="58"/>
      <c r="D27" s="59"/>
      <c r="E27" s="60">
        <v>1.25</v>
      </c>
      <c r="F27" s="61">
        <v>1.3</v>
      </c>
      <c r="G27" s="115">
        <v>104.6</v>
      </c>
      <c r="H27" s="62">
        <f>G27/$G$41*100</f>
        <v>2.1092111630908215</v>
      </c>
      <c r="I27" s="108">
        <v>7.05</v>
      </c>
      <c r="J27" s="108">
        <v>1.0900000000000001</v>
      </c>
      <c r="K27" s="108">
        <v>27.1</v>
      </c>
      <c r="L27" s="108">
        <v>0.8</v>
      </c>
      <c r="M27" s="108">
        <v>7</v>
      </c>
    </row>
    <row r="28" spans="2:17" x14ac:dyDescent="0.25">
      <c r="B28" s="57"/>
      <c r="C28" s="58"/>
      <c r="D28" s="59"/>
      <c r="E28" s="64">
        <f>F27</f>
        <v>1.3</v>
      </c>
      <c r="F28" s="61">
        <v>1.325</v>
      </c>
      <c r="G28" s="115">
        <v>244.7</v>
      </c>
      <c r="H28" s="62">
        <f t="shared" ref="H28:H40" si="3">G28/$G$41*100</f>
        <v>4.9342635909017591</v>
      </c>
      <c r="I28" s="108">
        <v>8.25</v>
      </c>
      <c r="J28" s="108">
        <v>1.04</v>
      </c>
      <c r="K28" s="108">
        <v>26.43</v>
      </c>
      <c r="L28" s="108">
        <v>0.8</v>
      </c>
      <c r="M28" s="108">
        <v>6.5</v>
      </c>
    </row>
    <row r="29" spans="2:17" x14ac:dyDescent="0.25">
      <c r="B29" s="57"/>
      <c r="C29" s="58"/>
      <c r="D29" s="59"/>
      <c r="E29" s="64">
        <f t="shared" ref="E29:E40" si="4">F28</f>
        <v>1.325</v>
      </c>
      <c r="F29" s="61">
        <v>1.35</v>
      </c>
      <c r="G29" s="115">
        <v>325</v>
      </c>
      <c r="H29" s="62">
        <f t="shared" si="3"/>
        <v>6.5534763671559944</v>
      </c>
      <c r="I29" s="108">
        <v>10.88</v>
      </c>
      <c r="J29" s="108">
        <v>0.75</v>
      </c>
      <c r="K29" s="108">
        <v>25.45</v>
      </c>
      <c r="L29" s="108">
        <v>0.79</v>
      </c>
      <c r="M29" s="108">
        <v>6</v>
      </c>
    </row>
    <row r="30" spans="2:17" x14ac:dyDescent="0.25">
      <c r="B30" s="57"/>
      <c r="C30" s="58"/>
      <c r="D30" s="59"/>
      <c r="E30" s="64">
        <f t="shared" si="4"/>
        <v>1.35</v>
      </c>
      <c r="F30" s="61">
        <v>1.375</v>
      </c>
      <c r="G30" s="115">
        <v>445.8</v>
      </c>
      <c r="H30" s="62">
        <f t="shared" si="3"/>
        <v>8.9893531214712059</v>
      </c>
      <c r="I30" s="108">
        <v>12.64</v>
      </c>
      <c r="J30" s="108">
        <v>0.89</v>
      </c>
      <c r="K30" s="108">
        <v>23.94</v>
      </c>
      <c r="L30" s="108">
        <v>0.79</v>
      </c>
      <c r="M30" s="108">
        <v>5.5</v>
      </c>
    </row>
    <row r="31" spans="2:17" x14ac:dyDescent="0.25">
      <c r="B31" s="57"/>
      <c r="C31" s="58"/>
      <c r="D31" s="59"/>
      <c r="E31" s="64">
        <f t="shared" si="4"/>
        <v>1.375</v>
      </c>
      <c r="F31" s="61">
        <v>1.4</v>
      </c>
      <c r="G31" s="115">
        <v>568.5</v>
      </c>
      <c r="H31" s="62">
        <f t="shared" si="3"/>
        <v>11.463542506855948</v>
      </c>
      <c r="I31" s="108">
        <v>15.6</v>
      </c>
      <c r="J31" s="108">
        <v>0.51</v>
      </c>
      <c r="K31" s="108">
        <v>23.37</v>
      </c>
      <c r="L31" s="108">
        <v>0.79</v>
      </c>
      <c r="M31" s="108">
        <v>5</v>
      </c>
    </row>
    <row r="32" spans="2:17" x14ac:dyDescent="0.25">
      <c r="B32" s="57"/>
      <c r="C32" s="58"/>
      <c r="D32" s="59"/>
      <c r="E32" s="64">
        <f t="shared" si="4"/>
        <v>1.4</v>
      </c>
      <c r="F32" s="61">
        <v>1.425</v>
      </c>
      <c r="G32" s="115">
        <v>607.29999999999995</v>
      </c>
      <c r="H32" s="62">
        <f t="shared" si="3"/>
        <v>12.24592676238103</v>
      </c>
      <c r="I32" s="108">
        <v>18.18</v>
      </c>
      <c r="J32" s="108">
        <v>0.59</v>
      </c>
      <c r="K32" s="108">
        <v>21.98</v>
      </c>
      <c r="L32" s="108">
        <v>0.8</v>
      </c>
      <c r="M32" s="108">
        <v>4</v>
      </c>
    </row>
    <row r="33" spans="2:13" x14ac:dyDescent="0.25">
      <c r="B33" s="57"/>
      <c r="C33" s="58"/>
      <c r="D33" s="59"/>
      <c r="E33" s="64">
        <f t="shared" si="4"/>
        <v>1.425</v>
      </c>
      <c r="F33" s="61">
        <v>1.45</v>
      </c>
      <c r="G33" s="115">
        <v>496.7</v>
      </c>
      <c r="H33" s="62">
        <f t="shared" si="3"/>
        <v>10.015728343281175</v>
      </c>
      <c r="I33" s="108">
        <v>20.64</v>
      </c>
      <c r="J33" s="108">
        <v>0.53</v>
      </c>
      <c r="K33" s="108">
        <v>20.82</v>
      </c>
      <c r="L33" s="108">
        <v>0.8</v>
      </c>
      <c r="M33" s="108">
        <v>2</v>
      </c>
    </row>
    <row r="34" spans="2:13" x14ac:dyDescent="0.25">
      <c r="B34" s="57"/>
      <c r="C34" s="58"/>
      <c r="D34" s="59"/>
      <c r="E34" s="64">
        <f t="shared" si="4"/>
        <v>1.45</v>
      </c>
      <c r="F34" s="61">
        <v>1.5</v>
      </c>
      <c r="G34" s="115">
        <v>750</v>
      </c>
      <c r="H34" s="62">
        <f t="shared" si="3"/>
        <v>15.12340700112922</v>
      </c>
      <c r="I34" s="108">
        <v>23.47</v>
      </c>
      <c r="J34" s="108">
        <v>0.64</v>
      </c>
      <c r="K34" s="108">
        <v>19.71</v>
      </c>
      <c r="L34" s="108">
        <v>0.79</v>
      </c>
      <c r="M34" s="108">
        <v>1</v>
      </c>
    </row>
    <row r="35" spans="2:13" x14ac:dyDescent="0.25">
      <c r="B35" s="57"/>
      <c r="C35" s="58"/>
      <c r="D35" s="59"/>
      <c r="E35" s="64">
        <f t="shared" si="4"/>
        <v>1.5</v>
      </c>
      <c r="F35" s="61">
        <v>1.6</v>
      </c>
      <c r="G35" s="115">
        <v>625.70000000000005</v>
      </c>
      <c r="H35" s="62">
        <f t="shared" si="3"/>
        <v>12.616954347475403</v>
      </c>
      <c r="I35" s="108">
        <v>31.02</v>
      </c>
      <c r="J35" s="108">
        <v>0.82</v>
      </c>
      <c r="K35" s="108">
        <v>18.75</v>
      </c>
      <c r="L35" s="108">
        <v>0.81</v>
      </c>
      <c r="M35" s="108">
        <v>1</v>
      </c>
    </row>
    <row r="36" spans="2:13" x14ac:dyDescent="0.25">
      <c r="B36" s="57"/>
      <c r="C36" s="58"/>
      <c r="D36" s="59"/>
      <c r="E36" s="64">
        <f t="shared" si="4"/>
        <v>1.6</v>
      </c>
      <c r="F36" s="61">
        <v>1.7</v>
      </c>
      <c r="G36" s="115">
        <v>157.4</v>
      </c>
      <c r="H36" s="62">
        <f t="shared" si="3"/>
        <v>3.1738990159703184</v>
      </c>
      <c r="I36" s="108">
        <v>41.07</v>
      </c>
      <c r="J36" s="108">
        <v>0.75</v>
      </c>
      <c r="K36" s="108">
        <v>17.09</v>
      </c>
      <c r="L36" s="108">
        <v>0.96</v>
      </c>
      <c r="M36" s="108">
        <v>0.5</v>
      </c>
    </row>
    <row r="37" spans="2:13" x14ac:dyDescent="0.25">
      <c r="B37" s="57"/>
      <c r="C37" s="58"/>
      <c r="D37" s="59"/>
      <c r="E37" s="64">
        <f t="shared" si="4"/>
        <v>1.7</v>
      </c>
      <c r="F37" s="61">
        <v>1.8</v>
      </c>
      <c r="G37" s="115">
        <v>92.1</v>
      </c>
      <c r="H37" s="62">
        <f t="shared" si="3"/>
        <v>1.8571543797386676</v>
      </c>
      <c r="I37" s="108">
        <v>48.81</v>
      </c>
      <c r="J37" s="108">
        <v>0.93</v>
      </c>
      <c r="K37" s="108">
        <v>15.96</v>
      </c>
      <c r="L37" s="108">
        <v>0.8</v>
      </c>
      <c r="M37" s="108">
        <v>0.5</v>
      </c>
    </row>
    <row r="38" spans="2:13" x14ac:dyDescent="0.25">
      <c r="B38" s="57"/>
      <c r="C38" s="58"/>
      <c r="D38" s="59"/>
      <c r="E38" s="64">
        <f t="shared" si="4"/>
        <v>1.8</v>
      </c>
      <c r="F38" s="61">
        <v>2</v>
      </c>
      <c r="G38" s="115">
        <v>129</v>
      </c>
      <c r="H38" s="62">
        <f t="shared" si="3"/>
        <v>2.6012260041942254</v>
      </c>
      <c r="I38" s="108">
        <v>56.86</v>
      </c>
      <c r="J38" s="108">
        <v>1.39</v>
      </c>
      <c r="K38" s="108">
        <v>15.38</v>
      </c>
      <c r="L38" s="108">
        <v>1.04</v>
      </c>
      <c r="M38" s="108">
        <v>0.5</v>
      </c>
    </row>
    <row r="39" spans="2:13" x14ac:dyDescent="0.25">
      <c r="B39" s="57"/>
      <c r="C39" s="58"/>
      <c r="D39" s="59"/>
      <c r="E39" s="64">
        <f t="shared" si="4"/>
        <v>2</v>
      </c>
      <c r="F39" s="61">
        <v>2.2000000000000002</v>
      </c>
      <c r="G39" s="115">
        <v>96.4</v>
      </c>
      <c r="H39" s="62">
        <f t="shared" si="3"/>
        <v>1.9438619132118089</v>
      </c>
      <c r="I39" s="108">
        <v>69.09</v>
      </c>
      <c r="J39" s="108">
        <v>0.95</v>
      </c>
      <c r="K39" s="108">
        <v>13.68</v>
      </c>
      <c r="L39" s="108">
        <v>1.18</v>
      </c>
      <c r="M39" s="108">
        <v>0</v>
      </c>
    </row>
    <row r="40" spans="2:13" x14ac:dyDescent="0.25">
      <c r="B40" s="57"/>
      <c r="C40" s="58"/>
      <c r="D40" s="59"/>
      <c r="E40" s="64">
        <f t="shared" si="4"/>
        <v>2.2000000000000002</v>
      </c>
      <c r="F40" s="61">
        <v>2.8</v>
      </c>
      <c r="G40" s="117">
        <v>316</v>
      </c>
      <c r="H40" s="62">
        <f t="shared" si="3"/>
        <v>6.3719954831424435</v>
      </c>
      <c r="I40" s="109">
        <v>80.739999999999995</v>
      </c>
      <c r="J40" s="109">
        <v>0.87</v>
      </c>
      <c r="K40" s="109">
        <v>12.32</v>
      </c>
      <c r="L40" s="109">
        <v>1.1299999999999999</v>
      </c>
      <c r="M40" s="109">
        <v>0</v>
      </c>
    </row>
    <row r="41" spans="2:13" x14ac:dyDescent="0.25">
      <c r="B41" s="121" t="s">
        <v>75</v>
      </c>
      <c r="C41" s="122"/>
      <c r="D41" s="122"/>
      <c r="E41" s="65"/>
      <c r="F41" s="66"/>
      <c r="G41" s="67">
        <f>SUM(G27:G40)</f>
        <v>4959.1999999999989</v>
      </c>
      <c r="H41" s="68">
        <f>SUM(H27:H40)</f>
        <v>100.00000000000003</v>
      </c>
      <c r="I41" s="69">
        <f>SUMPRODUCT($H$27:$H$40,I27:I40)/$H$41</f>
        <v>26.126977738344895</v>
      </c>
      <c r="J41" s="69">
        <f t="shared" ref="J41:M41" si="5">SUMPRODUCT($H$27:$H$40,J27:J40)/$H$41</f>
        <v>0.7386461526052589</v>
      </c>
      <c r="K41" s="69">
        <f t="shared" si="5"/>
        <v>20.787934545894498</v>
      </c>
      <c r="L41" s="69">
        <f t="shared" si="5"/>
        <v>0.83678415873527989</v>
      </c>
      <c r="M41" s="69">
        <f t="shared" si="5"/>
        <v>2.9348886917244719</v>
      </c>
    </row>
    <row r="42" spans="2:13" x14ac:dyDescent="0.25">
      <c r="B42" s="53" t="s">
        <v>78</v>
      </c>
      <c r="C42" s="54" t="s">
        <v>79</v>
      </c>
      <c r="D42" s="55"/>
      <c r="E42" s="56"/>
      <c r="F42" s="56"/>
      <c r="G42" s="56">
        <v>5000</v>
      </c>
      <c r="H42" s="56"/>
      <c r="I42" s="56"/>
      <c r="J42" s="56"/>
      <c r="K42" s="56"/>
      <c r="L42" s="56"/>
      <c r="M42" s="56"/>
    </row>
    <row r="43" spans="2:13" x14ac:dyDescent="0.25">
      <c r="B43" s="57"/>
      <c r="C43" s="58"/>
      <c r="D43" s="59"/>
      <c r="E43" s="60">
        <v>1.25</v>
      </c>
      <c r="F43" s="61">
        <v>1.3</v>
      </c>
      <c r="G43" s="115">
        <v>702.5</v>
      </c>
      <c r="H43" s="62">
        <f>G43/$G$57*100</f>
        <v>14.19909044972208</v>
      </c>
      <c r="I43" s="93">
        <v>5.95</v>
      </c>
      <c r="J43" s="93">
        <v>0.65</v>
      </c>
      <c r="K43" s="93">
        <v>27.5</v>
      </c>
      <c r="L43" s="93">
        <v>0.63</v>
      </c>
      <c r="M43" s="93">
        <v>8</v>
      </c>
    </row>
    <row r="44" spans="2:13" x14ac:dyDescent="0.25">
      <c r="B44" s="57"/>
      <c r="C44" s="58"/>
      <c r="D44" s="59"/>
      <c r="E44" s="64">
        <f>F43</f>
        <v>1.3</v>
      </c>
      <c r="F44" s="61">
        <v>1.325</v>
      </c>
      <c r="G44" s="115">
        <v>225.3</v>
      </c>
      <c r="H44" s="62">
        <f t="shared" ref="H44:H56" si="6">G44/$G$57*100</f>
        <v>4.553815058110156</v>
      </c>
      <c r="I44" s="93">
        <v>8.24</v>
      </c>
      <c r="J44" s="93">
        <v>0.5</v>
      </c>
      <c r="K44" s="93">
        <v>26.55</v>
      </c>
      <c r="L44" s="93">
        <v>0.6</v>
      </c>
      <c r="M44" s="93">
        <v>7</v>
      </c>
    </row>
    <row r="45" spans="2:13" x14ac:dyDescent="0.25">
      <c r="B45" s="57"/>
      <c r="C45" s="58"/>
      <c r="D45" s="59"/>
      <c r="E45" s="64">
        <f t="shared" ref="E45:E56" si="7">F44</f>
        <v>1.325</v>
      </c>
      <c r="F45" s="61">
        <v>1.35</v>
      </c>
      <c r="G45" s="115">
        <v>407.5</v>
      </c>
      <c r="H45" s="62">
        <f t="shared" si="6"/>
        <v>8.2364830722587161</v>
      </c>
      <c r="I45" s="93">
        <v>12.32</v>
      </c>
      <c r="J45" s="93">
        <v>0.48</v>
      </c>
      <c r="K45" s="93">
        <v>24.41</v>
      </c>
      <c r="L45" s="93">
        <v>0.55000000000000004</v>
      </c>
      <c r="M45" s="93">
        <v>6</v>
      </c>
    </row>
    <row r="46" spans="2:13" x14ac:dyDescent="0.25">
      <c r="B46" s="57"/>
      <c r="C46" s="58"/>
      <c r="D46" s="59"/>
      <c r="E46" s="64">
        <f t="shared" si="7"/>
        <v>1.35</v>
      </c>
      <c r="F46" s="61">
        <v>1.375</v>
      </c>
      <c r="G46" s="115">
        <v>466.2</v>
      </c>
      <c r="H46" s="62">
        <f t="shared" si="6"/>
        <v>9.422940879231934</v>
      </c>
      <c r="I46" s="93">
        <v>14.24</v>
      </c>
      <c r="J46" s="93">
        <v>0.51</v>
      </c>
      <c r="K46" s="93">
        <v>23.55</v>
      </c>
      <c r="L46" s="93">
        <v>0.56999999999999995</v>
      </c>
      <c r="M46" s="93">
        <v>5</v>
      </c>
    </row>
    <row r="47" spans="2:13" x14ac:dyDescent="0.25">
      <c r="B47" s="57"/>
      <c r="C47" s="58"/>
      <c r="D47" s="59"/>
      <c r="E47" s="64">
        <f t="shared" si="7"/>
        <v>1.375</v>
      </c>
      <c r="F47" s="61">
        <v>1.4</v>
      </c>
      <c r="G47" s="115">
        <v>543.29999999999995</v>
      </c>
      <c r="H47" s="62">
        <f t="shared" si="6"/>
        <v>10.981303688731678</v>
      </c>
      <c r="I47" s="93">
        <v>16.47</v>
      </c>
      <c r="J47" s="93">
        <v>0.5</v>
      </c>
      <c r="K47" s="93">
        <v>22.27</v>
      </c>
      <c r="L47" s="93">
        <v>0.57999999999999996</v>
      </c>
      <c r="M47" s="93">
        <v>4.5</v>
      </c>
    </row>
    <row r="48" spans="2:13" x14ac:dyDescent="0.25">
      <c r="B48" s="57"/>
      <c r="C48" s="58"/>
      <c r="D48" s="59"/>
      <c r="E48" s="64">
        <f t="shared" si="7"/>
        <v>1.4</v>
      </c>
      <c r="F48" s="61">
        <v>1.425</v>
      </c>
      <c r="G48" s="115">
        <v>562</v>
      </c>
      <c r="H48" s="62">
        <f t="shared" si="6"/>
        <v>11.359272359777664</v>
      </c>
      <c r="I48" s="93">
        <v>20.16</v>
      </c>
      <c r="J48" s="93">
        <v>0.71</v>
      </c>
      <c r="K48" s="93">
        <v>21.01</v>
      </c>
      <c r="L48" s="93">
        <v>0.56999999999999995</v>
      </c>
      <c r="M48" s="93">
        <v>2</v>
      </c>
    </row>
    <row r="49" spans="2:13" x14ac:dyDescent="0.25">
      <c r="B49" s="57"/>
      <c r="C49" s="58"/>
      <c r="D49" s="59"/>
      <c r="E49" s="64">
        <f t="shared" si="7"/>
        <v>1.425</v>
      </c>
      <c r="F49" s="61">
        <v>1.45</v>
      </c>
      <c r="G49" s="115">
        <v>499.8</v>
      </c>
      <c r="H49" s="62">
        <f t="shared" si="6"/>
        <v>10.102071753410812</v>
      </c>
      <c r="I49" s="93">
        <v>22.51</v>
      </c>
      <c r="J49" s="93">
        <v>0.55000000000000004</v>
      </c>
      <c r="K49" s="93">
        <v>20.41</v>
      </c>
      <c r="L49" s="93">
        <v>0.56000000000000005</v>
      </c>
      <c r="M49" s="93">
        <v>1.5</v>
      </c>
    </row>
    <row r="50" spans="2:13" x14ac:dyDescent="0.25">
      <c r="B50" s="57"/>
      <c r="C50" s="58"/>
      <c r="D50" s="59"/>
      <c r="E50" s="64">
        <f t="shared" si="7"/>
        <v>1.45</v>
      </c>
      <c r="F50" s="61">
        <v>1.5</v>
      </c>
      <c r="G50" s="115">
        <v>485.7</v>
      </c>
      <c r="H50" s="62">
        <f t="shared" si="6"/>
        <v>9.8170793329964603</v>
      </c>
      <c r="I50" s="93">
        <v>27.34</v>
      </c>
      <c r="J50" s="93">
        <v>0.55000000000000004</v>
      </c>
      <c r="K50" s="93">
        <v>19.2</v>
      </c>
      <c r="L50" s="93">
        <v>0.67</v>
      </c>
      <c r="M50" s="93">
        <v>1</v>
      </c>
    </row>
    <row r="51" spans="2:13" x14ac:dyDescent="0.25">
      <c r="B51" s="57"/>
      <c r="C51" s="58"/>
      <c r="D51" s="59"/>
      <c r="E51" s="64">
        <f t="shared" si="7"/>
        <v>1.5</v>
      </c>
      <c r="F51" s="61">
        <v>1.6</v>
      </c>
      <c r="G51" s="115">
        <v>342.6</v>
      </c>
      <c r="H51" s="62">
        <f t="shared" si="6"/>
        <v>6.9247094492167758</v>
      </c>
      <c r="I51" s="93">
        <v>34.869999999999997</v>
      </c>
      <c r="J51" s="93">
        <v>0.7</v>
      </c>
      <c r="K51" s="93">
        <v>18.63</v>
      </c>
      <c r="L51" s="93">
        <v>0.68</v>
      </c>
      <c r="M51" s="93">
        <v>1</v>
      </c>
    </row>
    <row r="52" spans="2:13" x14ac:dyDescent="0.25">
      <c r="B52" s="57"/>
      <c r="C52" s="58"/>
      <c r="D52" s="59"/>
      <c r="E52" s="64">
        <f t="shared" si="7"/>
        <v>1.6</v>
      </c>
      <c r="F52" s="61">
        <v>1.7</v>
      </c>
      <c r="G52" s="115">
        <v>67.400000000000006</v>
      </c>
      <c r="H52" s="62">
        <f t="shared" si="6"/>
        <v>1.3623041940373926</v>
      </c>
      <c r="I52" s="93">
        <v>42.16</v>
      </c>
      <c r="J52" s="93">
        <v>0.82</v>
      </c>
      <c r="K52" s="93">
        <v>17.63</v>
      </c>
      <c r="L52" s="93">
        <v>0.74</v>
      </c>
      <c r="M52" s="93">
        <v>0.5</v>
      </c>
    </row>
    <row r="53" spans="2:13" x14ac:dyDescent="0.25">
      <c r="B53" s="57"/>
      <c r="C53" s="58"/>
      <c r="D53" s="59"/>
      <c r="E53" s="64">
        <f t="shared" si="7"/>
        <v>1.7</v>
      </c>
      <c r="F53" s="61">
        <v>1.8</v>
      </c>
      <c r="G53" s="115">
        <v>110.3</v>
      </c>
      <c r="H53" s="62">
        <f t="shared" si="6"/>
        <v>2.2294087923193526</v>
      </c>
      <c r="I53" s="93">
        <v>58.25</v>
      </c>
      <c r="J53" s="93">
        <v>0.9</v>
      </c>
      <c r="K53" s="93">
        <v>15.11</v>
      </c>
      <c r="L53" s="93">
        <v>1.25</v>
      </c>
      <c r="M53" s="93">
        <v>0</v>
      </c>
    </row>
    <row r="54" spans="2:13" x14ac:dyDescent="0.25">
      <c r="B54" s="57"/>
      <c r="C54" s="58"/>
      <c r="D54" s="59"/>
      <c r="E54" s="64">
        <f t="shared" si="7"/>
        <v>1.8</v>
      </c>
      <c r="F54" s="61">
        <v>2</v>
      </c>
      <c r="G54" s="115">
        <v>132</v>
      </c>
      <c r="H54" s="62">
        <f t="shared" si="6"/>
        <v>2.6680141485598781</v>
      </c>
      <c r="I54" s="93">
        <v>62.63</v>
      </c>
      <c r="J54" s="93">
        <v>0.86</v>
      </c>
      <c r="K54" s="93">
        <v>14.78</v>
      </c>
      <c r="L54" s="93">
        <v>1.29</v>
      </c>
      <c r="M54" s="93">
        <v>0</v>
      </c>
    </row>
    <row r="55" spans="2:13" x14ac:dyDescent="0.25">
      <c r="B55" s="57"/>
      <c r="C55" s="58"/>
      <c r="D55" s="59"/>
      <c r="E55" s="64">
        <f t="shared" si="7"/>
        <v>2</v>
      </c>
      <c r="F55" s="61">
        <v>2.2000000000000002</v>
      </c>
      <c r="G55" s="115">
        <v>146.6</v>
      </c>
      <c r="H55" s="62">
        <f t="shared" si="6"/>
        <v>2.9631126831733194</v>
      </c>
      <c r="I55" s="93">
        <v>74.03</v>
      </c>
      <c r="J55" s="93">
        <v>0.96</v>
      </c>
      <c r="K55" s="93">
        <v>11.49</v>
      </c>
      <c r="L55" s="93">
        <v>1</v>
      </c>
      <c r="M55" s="93">
        <v>0</v>
      </c>
    </row>
    <row r="56" spans="2:13" x14ac:dyDescent="0.25">
      <c r="B56" s="57"/>
      <c r="C56" s="58"/>
      <c r="D56" s="59"/>
      <c r="E56" s="64">
        <f t="shared" si="7"/>
        <v>2.2000000000000002</v>
      </c>
      <c r="F56" s="61">
        <v>2.8</v>
      </c>
      <c r="G56" s="117">
        <v>256.3</v>
      </c>
      <c r="H56" s="62">
        <f t="shared" si="6"/>
        <v>5.1803941384537637</v>
      </c>
      <c r="I56" s="94">
        <v>82.67</v>
      </c>
      <c r="J56" s="94">
        <v>0.92</v>
      </c>
      <c r="K56" s="94">
        <v>10.91</v>
      </c>
      <c r="L56" s="94">
        <v>1.42</v>
      </c>
      <c r="M56" s="94">
        <v>0</v>
      </c>
    </row>
    <row r="57" spans="2:13" x14ac:dyDescent="0.25">
      <c r="B57" s="121" t="s">
        <v>75</v>
      </c>
      <c r="C57" s="122"/>
      <c r="D57" s="122"/>
      <c r="E57" s="65"/>
      <c r="F57" s="66"/>
      <c r="G57" s="67">
        <f>SUM(G43:G56)</f>
        <v>4947.5000000000009</v>
      </c>
      <c r="H57" s="68">
        <f>SUM(H43:H56)</f>
        <v>99.999999999999986</v>
      </c>
      <c r="I57" s="69">
        <f>SUMPRODUCT($H$43:$H$56,I43:I56)/$H$57</f>
        <v>25.068083274380999</v>
      </c>
      <c r="J57" s="69">
        <f t="shared" ref="J57:M57" si="8">SUMPRODUCT($H$43:$H$56,J43:J56)/$H$57</f>
        <v>0.62652693279434057</v>
      </c>
      <c r="K57" s="69">
        <f t="shared" si="8"/>
        <v>21.289333804951998</v>
      </c>
      <c r="L57" s="69">
        <f t="shared" si="8"/>
        <v>0.68922081859525008</v>
      </c>
      <c r="M57" s="69">
        <f t="shared" si="8"/>
        <v>3.4671349166245573</v>
      </c>
    </row>
    <row r="58" spans="2:13" x14ac:dyDescent="0.25">
      <c r="B58" s="53" t="s">
        <v>80</v>
      </c>
      <c r="C58" s="54" t="s">
        <v>81</v>
      </c>
      <c r="D58" s="55"/>
      <c r="E58" s="56"/>
      <c r="F58" s="56"/>
      <c r="G58" s="56">
        <v>3000</v>
      </c>
      <c r="H58" s="56"/>
      <c r="I58" s="56"/>
      <c r="J58" s="56"/>
      <c r="K58" s="56"/>
      <c r="L58" s="56"/>
      <c r="M58" s="56"/>
    </row>
    <row r="59" spans="2:13" x14ac:dyDescent="0.25">
      <c r="B59" s="57"/>
      <c r="C59" s="58"/>
      <c r="D59" s="59"/>
      <c r="E59" s="60">
        <v>1.25</v>
      </c>
      <c r="F59" s="61">
        <v>1.3</v>
      </c>
      <c r="G59" s="115">
        <v>833.1</v>
      </c>
      <c r="H59" s="62">
        <f>G59/$G$73*100</f>
        <v>27.239733193826837</v>
      </c>
      <c r="I59" s="93">
        <v>3.3</v>
      </c>
      <c r="J59" s="108">
        <v>1.06</v>
      </c>
      <c r="K59" s="108">
        <v>28.54</v>
      </c>
      <c r="L59" s="93">
        <v>0.84</v>
      </c>
      <c r="M59" s="93">
        <v>9</v>
      </c>
    </row>
    <row r="60" spans="2:13" x14ac:dyDescent="0.25">
      <c r="B60" s="57"/>
      <c r="C60" s="58"/>
      <c r="D60" s="59"/>
      <c r="E60" s="64">
        <f>F59</f>
        <v>1.3</v>
      </c>
      <c r="F60" s="61">
        <v>1.325</v>
      </c>
      <c r="G60" s="115">
        <v>186.5</v>
      </c>
      <c r="H60" s="62">
        <f t="shared" ref="H60:H72" si="9">G60/$G$73*100</f>
        <v>6.0979597174993465</v>
      </c>
      <c r="I60" s="93">
        <v>7.93</v>
      </c>
      <c r="J60" s="108">
        <v>1.1299999999999999</v>
      </c>
      <c r="K60" s="108">
        <v>26.63</v>
      </c>
      <c r="L60" s="93">
        <v>0.69</v>
      </c>
      <c r="M60" s="93">
        <v>8</v>
      </c>
    </row>
    <row r="61" spans="2:13" x14ac:dyDescent="0.25">
      <c r="B61" s="57"/>
      <c r="C61" s="58"/>
      <c r="D61" s="59"/>
      <c r="E61" s="64">
        <f t="shared" ref="E61:E72" si="10">F60</f>
        <v>1.325</v>
      </c>
      <c r="F61" s="61">
        <v>1.35</v>
      </c>
      <c r="G61" s="115">
        <v>220.6</v>
      </c>
      <c r="H61" s="62">
        <f t="shared" si="9"/>
        <v>7.2129217891708075</v>
      </c>
      <c r="I61" s="93">
        <v>10.58</v>
      </c>
      <c r="J61" s="108">
        <v>0.78</v>
      </c>
      <c r="K61" s="108">
        <v>25.6</v>
      </c>
      <c r="L61" s="93">
        <v>0.63</v>
      </c>
      <c r="M61" s="93">
        <v>7</v>
      </c>
    </row>
    <row r="62" spans="2:13" x14ac:dyDescent="0.25">
      <c r="B62" s="57"/>
      <c r="C62" s="58"/>
      <c r="D62" s="59"/>
      <c r="E62" s="64">
        <f t="shared" si="10"/>
        <v>1.35</v>
      </c>
      <c r="F62" s="61">
        <v>1.375</v>
      </c>
      <c r="G62" s="115">
        <v>244.6</v>
      </c>
      <c r="H62" s="62">
        <f t="shared" si="9"/>
        <v>7.9976458278838605</v>
      </c>
      <c r="I62" s="93">
        <v>13.05</v>
      </c>
      <c r="J62" s="108">
        <v>1.0900000000000001</v>
      </c>
      <c r="K62" s="108">
        <v>24.02</v>
      </c>
      <c r="L62" s="93">
        <v>0.59</v>
      </c>
      <c r="M62" s="93">
        <v>5</v>
      </c>
    </row>
    <row r="63" spans="2:13" x14ac:dyDescent="0.25">
      <c r="B63" s="57"/>
      <c r="C63" s="58"/>
      <c r="D63" s="59"/>
      <c r="E63" s="64">
        <f t="shared" si="10"/>
        <v>1.375</v>
      </c>
      <c r="F63" s="61">
        <v>1.4</v>
      </c>
      <c r="G63" s="115">
        <v>233.9</v>
      </c>
      <c r="H63" s="62">
        <f t="shared" si="9"/>
        <v>7.6477896939576251</v>
      </c>
      <c r="I63" s="93">
        <v>15.32</v>
      </c>
      <c r="J63" s="108">
        <v>1.1000000000000001</v>
      </c>
      <c r="K63" s="108">
        <v>23.25</v>
      </c>
      <c r="L63" s="93">
        <v>0.53</v>
      </c>
      <c r="M63" s="93">
        <v>4.5</v>
      </c>
    </row>
    <row r="64" spans="2:13" x14ac:dyDescent="0.25">
      <c r="B64" s="57"/>
      <c r="C64" s="58"/>
      <c r="D64" s="59"/>
      <c r="E64" s="64">
        <f t="shared" si="10"/>
        <v>1.4</v>
      </c>
      <c r="F64" s="61">
        <v>1.425</v>
      </c>
      <c r="G64" s="115">
        <v>209.4</v>
      </c>
      <c r="H64" s="62">
        <f t="shared" si="9"/>
        <v>6.8467172377713839</v>
      </c>
      <c r="I64" s="93">
        <v>18.010000000000002</v>
      </c>
      <c r="J64" s="108">
        <v>1.04</v>
      </c>
      <c r="K64" s="108">
        <v>21.68</v>
      </c>
      <c r="L64" s="93">
        <v>0.57999999999999996</v>
      </c>
      <c r="M64" s="93">
        <v>3</v>
      </c>
    </row>
    <row r="65" spans="2:13" x14ac:dyDescent="0.25">
      <c r="B65" s="57"/>
      <c r="C65" s="58"/>
      <c r="D65" s="59"/>
      <c r="E65" s="64">
        <f t="shared" si="10"/>
        <v>1.425</v>
      </c>
      <c r="F65" s="61">
        <v>1.45</v>
      </c>
      <c r="G65" s="115">
        <v>221.4</v>
      </c>
      <c r="H65" s="62">
        <f t="shared" si="9"/>
        <v>7.2390792571279103</v>
      </c>
      <c r="I65" s="93">
        <v>20.73</v>
      </c>
      <c r="J65" s="108">
        <v>0.87</v>
      </c>
      <c r="K65" s="108">
        <v>20.88</v>
      </c>
      <c r="L65" s="93">
        <v>0.71</v>
      </c>
      <c r="M65" s="93">
        <v>1</v>
      </c>
    </row>
    <row r="66" spans="2:13" x14ac:dyDescent="0.25">
      <c r="B66" s="57"/>
      <c r="C66" s="58"/>
      <c r="D66" s="59"/>
      <c r="E66" s="64">
        <f t="shared" si="10"/>
        <v>1.45</v>
      </c>
      <c r="F66" s="61">
        <v>1.5</v>
      </c>
      <c r="G66" s="115">
        <v>222.3</v>
      </c>
      <c r="H66" s="62">
        <f t="shared" si="9"/>
        <v>7.2685064085796505</v>
      </c>
      <c r="I66" s="93">
        <v>24.47</v>
      </c>
      <c r="J66" s="108">
        <v>0.91</v>
      </c>
      <c r="K66" s="108">
        <v>20.39</v>
      </c>
      <c r="L66" s="93">
        <v>0.59</v>
      </c>
      <c r="M66" s="93">
        <v>1</v>
      </c>
    </row>
    <row r="67" spans="2:13" x14ac:dyDescent="0.25">
      <c r="B67" s="57"/>
      <c r="C67" s="58"/>
      <c r="D67" s="59"/>
      <c r="E67" s="64">
        <f t="shared" si="10"/>
        <v>1.5</v>
      </c>
      <c r="F67" s="61">
        <v>1.6</v>
      </c>
      <c r="G67" s="115">
        <v>207</v>
      </c>
      <c r="H67" s="62">
        <f t="shared" si="9"/>
        <v>6.768244833900078</v>
      </c>
      <c r="I67" s="93">
        <v>30.29</v>
      </c>
      <c r="J67" s="108">
        <v>1.01</v>
      </c>
      <c r="K67" s="108">
        <v>19.54</v>
      </c>
      <c r="L67" s="93">
        <v>0.64</v>
      </c>
      <c r="M67" s="93">
        <v>1</v>
      </c>
    </row>
    <row r="68" spans="2:13" x14ac:dyDescent="0.25">
      <c r="B68" s="57"/>
      <c r="C68" s="58"/>
      <c r="D68" s="59"/>
      <c r="E68" s="64">
        <f t="shared" si="10"/>
        <v>1.6</v>
      </c>
      <c r="F68" s="61">
        <v>1.7</v>
      </c>
      <c r="G68" s="115">
        <v>87.5</v>
      </c>
      <c r="H68" s="62">
        <f t="shared" si="9"/>
        <v>2.8609730578080041</v>
      </c>
      <c r="I68" s="93">
        <v>38.299999999999997</v>
      </c>
      <c r="J68" s="108">
        <v>1.27</v>
      </c>
      <c r="K68" s="108">
        <v>18.77</v>
      </c>
      <c r="L68" s="93">
        <v>0.72</v>
      </c>
      <c r="M68" s="93">
        <v>0</v>
      </c>
    </row>
    <row r="69" spans="2:13" x14ac:dyDescent="0.25">
      <c r="B69" s="57"/>
      <c r="C69" s="58"/>
      <c r="D69" s="59"/>
      <c r="E69" s="64">
        <f t="shared" si="10"/>
        <v>1.7</v>
      </c>
      <c r="F69" s="61">
        <v>1.8</v>
      </c>
      <c r="G69" s="115">
        <v>65.8</v>
      </c>
      <c r="H69" s="62">
        <f t="shared" si="9"/>
        <v>2.1514517394716193</v>
      </c>
      <c r="I69" s="93">
        <v>45.92</v>
      </c>
      <c r="J69" s="108">
        <v>1.1200000000000001</v>
      </c>
      <c r="K69" s="108">
        <v>16.98</v>
      </c>
      <c r="L69" s="93">
        <v>0.82</v>
      </c>
      <c r="M69" s="93">
        <v>0</v>
      </c>
    </row>
    <row r="70" spans="2:13" x14ac:dyDescent="0.25">
      <c r="B70" s="57"/>
      <c r="C70" s="58"/>
      <c r="D70" s="59"/>
      <c r="E70" s="64">
        <f t="shared" si="10"/>
        <v>1.8</v>
      </c>
      <c r="F70" s="61">
        <v>2</v>
      </c>
      <c r="G70" s="115">
        <v>84</v>
      </c>
      <c r="H70" s="62">
        <f t="shared" si="9"/>
        <v>2.746534135495684</v>
      </c>
      <c r="I70" s="93">
        <v>55.23</v>
      </c>
      <c r="J70" s="108">
        <v>1.25</v>
      </c>
      <c r="K70" s="108">
        <v>12.5</v>
      </c>
      <c r="L70" s="93">
        <v>1.1299999999999999</v>
      </c>
      <c r="M70" s="93">
        <v>0</v>
      </c>
    </row>
    <row r="71" spans="2:13" x14ac:dyDescent="0.25">
      <c r="B71" s="57"/>
      <c r="C71" s="58"/>
      <c r="D71" s="59"/>
      <c r="E71" s="64">
        <f t="shared" si="10"/>
        <v>2</v>
      </c>
      <c r="F71" s="61">
        <v>2.2000000000000002</v>
      </c>
      <c r="G71" s="115">
        <v>71.599999999999994</v>
      </c>
      <c r="H71" s="62">
        <f t="shared" si="9"/>
        <v>2.3410933821606066</v>
      </c>
      <c r="I71" s="93">
        <v>67.069999999999993</v>
      </c>
      <c r="J71" s="108">
        <v>1.3</v>
      </c>
      <c r="K71" s="108">
        <v>14.59</v>
      </c>
      <c r="L71" s="93">
        <v>1.57</v>
      </c>
      <c r="M71" s="93">
        <v>0</v>
      </c>
    </row>
    <row r="72" spans="2:13" x14ac:dyDescent="0.25">
      <c r="B72" s="57"/>
      <c r="C72" s="58"/>
      <c r="D72" s="59"/>
      <c r="E72" s="64">
        <f t="shared" si="10"/>
        <v>2.2000000000000002</v>
      </c>
      <c r="F72" s="61">
        <v>2.8</v>
      </c>
      <c r="G72" s="117">
        <v>170.7</v>
      </c>
      <c r="H72" s="62">
        <f t="shared" si="9"/>
        <v>5.5813497253465858</v>
      </c>
      <c r="I72" s="94">
        <v>77.08</v>
      </c>
      <c r="J72" s="109">
        <v>1.21</v>
      </c>
      <c r="K72" s="109">
        <v>13.9</v>
      </c>
      <c r="L72" s="94">
        <v>3.18</v>
      </c>
      <c r="M72" s="94">
        <v>0</v>
      </c>
    </row>
    <row r="73" spans="2:13" x14ac:dyDescent="0.25">
      <c r="B73" s="121" t="s">
        <v>75</v>
      </c>
      <c r="C73" s="122"/>
      <c r="D73" s="122"/>
      <c r="E73" s="65"/>
      <c r="F73" s="66"/>
      <c r="G73" s="67">
        <f>SUM(G59:G72)</f>
        <v>3058.4</v>
      </c>
      <c r="H73" s="68">
        <f>H59+H60+H61+H62+H63+H64+H65+H66+H67+H68+H69+H70+H71+H72</f>
        <v>100.00000000000001</v>
      </c>
      <c r="I73" s="69">
        <f>SUMPRODUCT($H$59:$H$72,I59:I72)/$H$73</f>
        <v>20.396286293486785</v>
      </c>
      <c r="J73" s="69">
        <f t="shared" ref="J73:M73" si="11">SUMPRODUCT($H$59:$H$72,J59:J72)/$H$73</f>
        <v>1.0466283023803296</v>
      </c>
      <c r="K73" s="69">
        <f t="shared" si="11"/>
        <v>23.107222730839649</v>
      </c>
      <c r="L73" s="69">
        <f t="shared" si="11"/>
        <v>0.86487869474234869</v>
      </c>
      <c r="M73" s="69">
        <f t="shared" si="11"/>
        <v>4.6065099398378226</v>
      </c>
    </row>
    <row r="74" spans="2:13" x14ac:dyDescent="0.25">
      <c r="B74" s="53" t="s">
        <v>82</v>
      </c>
      <c r="C74" s="54" t="s">
        <v>83</v>
      </c>
      <c r="D74" s="55"/>
      <c r="E74" s="56"/>
      <c r="F74" s="56"/>
      <c r="G74" s="56">
        <v>2000</v>
      </c>
      <c r="H74" s="56"/>
      <c r="I74" s="56"/>
      <c r="J74" s="56"/>
      <c r="K74" s="56"/>
      <c r="L74" s="56"/>
      <c r="M74" s="56"/>
    </row>
    <row r="75" spans="2:13" x14ac:dyDescent="0.25">
      <c r="B75" s="57"/>
      <c r="C75" s="58"/>
      <c r="D75" s="59"/>
      <c r="E75" s="60">
        <v>1.25</v>
      </c>
      <c r="F75" s="61">
        <v>1.3</v>
      </c>
      <c r="G75" s="91">
        <v>903.5</v>
      </c>
      <c r="H75" s="62">
        <f>G75/$G$89*100</f>
        <v>45.31547798174342</v>
      </c>
      <c r="I75" s="93">
        <v>3.84</v>
      </c>
      <c r="J75" s="93">
        <v>1.1299999999999999</v>
      </c>
      <c r="K75" s="93">
        <v>28.21</v>
      </c>
      <c r="L75" s="93">
        <v>0.81</v>
      </c>
      <c r="M75" s="93">
        <v>8.5</v>
      </c>
    </row>
    <row r="76" spans="2:13" x14ac:dyDescent="0.25">
      <c r="B76" s="57"/>
      <c r="C76" s="58"/>
      <c r="D76" s="59"/>
      <c r="E76" s="64">
        <f>F75</f>
        <v>1.3</v>
      </c>
      <c r="F76" s="61">
        <v>1.325</v>
      </c>
      <c r="G76" s="91">
        <v>119.8</v>
      </c>
      <c r="H76" s="62">
        <f t="shared" ref="H76:H88" si="12">G76/$G$89*100</f>
        <v>6.0086267429030009</v>
      </c>
      <c r="I76" s="93">
        <v>10.54</v>
      </c>
      <c r="J76" s="93">
        <v>1.18</v>
      </c>
      <c r="K76" s="93">
        <v>25.29</v>
      </c>
      <c r="L76" s="93">
        <v>0.79</v>
      </c>
      <c r="M76" s="93">
        <v>7</v>
      </c>
    </row>
    <row r="77" spans="2:13" x14ac:dyDescent="0.25">
      <c r="B77" s="57"/>
      <c r="C77" s="58"/>
      <c r="D77" s="59"/>
      <c r="E77" s="64">
        <f t="shared" ref="E77:E88" si="13">F76</f>
        <v>1.325</v>
      </c>
      <c r="F77" s="61">
        <v>1.35</v>
      </c>
      <c r="G77" s="91">
        <v>108.1</v>
      </c>
      <c r="H77" s="62">
        <f t="shared" si="12"/>
        <v>5.4218076035710716</v>
      </c>
      <c r="I77" s="93">
        <v>13.65</v>
      </c>
      <c r="J77" s="93">
        <v>1.26</v>
      </c>
      <c r="K77" s="93">
        <v>23.81</v>
      </c>
      <c r="L77" s="93">
        <v>0.8</v>
      </c>
      <c r="M77" s="93">
        <v>6.5</v>
      </c>
    </row>
    <row r="78" spans="2:13" x14ac:dyDescent="0.25">
      <c r="B78" s="57"/>
      <c r="C78" s="58"/>
      <c r="D78" s="59"/>
      <c r="E78" s="64">
        <f t="shared" si="13"/>
        <v>1.35</v>
      </c>
      <c r="F78" s="61">
        <v>1.375</v>
      </c>
      <c r="G78" s="91">
        <v>70</v>
      </c>
      <c r="H78" s="62">
        <f t="shared" si="12"/>
        <v>3.5108837395927384</v>
      </c>
      <c r="I78" s="93">
        <v>14.01</v>
      </c>
      <c r="J78" s="93">
        <v>1.01</v>
      </c>
      <c r="K78" s="93">
        <v>23.72</v>
      </c>
      <c r="L78" s="93">
        <v>0.79</v>
      </c>
      <c r="M78" s="93">
        <v>6.5</v>
      </c>
    </row>
    <row r="79" spans="2:13" x14ac:dyDescent="0.25">
      <c r="B79" s="57"/>
      <c r="C79" s="58"/>
      <c r="D79" s="59"/>
      <c r="E79" s="64">
        <f t="shared" si="13"/>
        <v>1.375</v>
      </c>
      <c r="F79" s="61">
        <v>1.4</v>
      </c>
      <c r="G79" s="91">
        <v>128.5</v>
      </c>
      <c r="H79" s="62">
        <f t="shared" si="12"/>
        <v>6.4449794362523836</v>
      </c>
      <c r="I79" s="93">
        <v>17.98</v>
      </c>
      <c r="J79" s="93">
        <v>1.24</v>
      </c>
      <c r="K79" s="93">
        <v>21.8</v>
      </c>
      <c r="L79" s="93">
        <v>0.8</v>
      </c>
      <c r="M79" s="93">
        <v>4</v>
      </c>
    </row>
    <row r="80" spans="2:13" x14ac:dyDescent="0.25">
      <c r="B80" s="57"/>
      <c r="C80" s="58"/>
      <c r="D80" s="59"/>
      <c r="E80" s="64">
        <f t="shared" si="13"/>
        <v>1.4</v>
      </c>
      <c r="F80" s="61">
        <v>1.425</v>
      </c>
      <c r="G80" s="91">
        <v>94.8</v>
      </c>
      <c r="H80" s="62">
        <f t="shared" si="12"/>
        <v>4.7547396930484513</v>
      </c>
      <c r="I80" s="93">
        <v>19.18</v>
      </c>
      <c r="J80" s="93">
        <v>1.2</v>
      </c>
      <c r="K80" s="93">
        <v>21.65</v>
      </c>
      <c r="L80" s="93">
        <v>0.79</v>
      </c>
      <c r="M80" s="93">
        <v>3</v>
      </c>
    </row>
    <row r="81" spans="2:13" x14ac:dyDescent="0.25">
      <c r="B81" s="57"/>
      <c r="C81" s="58"/>
      <c r="D81" s="59"/>
      <c r="E81" s="64">
        <f t="shared" si="13"/>
        <v>1.425</v>
      </c>
      <c r="F81" s="61">
        <v>1.45</v>
      </c>
      <c r="G81" s="91">
        <v>102</v>
      </c>
      <c r="H81" s="62">
        <f t="shared" si="12"/>
        <v>5.1158591634065615</v>
      </c>
      <c r="I81" s="93">
        <v>23.39</v>
      </c>
      <c r="J81" s="93">
        <v>1.26</v>
      </c>
      <c r="K81" s="93">
        <v>20.36</v>
      </c>
      <c r="L81" s="93">
        <v>0.8</v>
      </c>
      <c r="M81" s="93">
        <v>1</v>
      </c>
    </row>
    <row r="82" spans="2:13" x14ac:dyDescent="0.25">
      <c r="B82" s="57"/>
      <c r="C82" s="58"/>
      <c r="D82" s="59"/>
      <c r="E82" s="64">
        <f t="shared" si="13"/>
        <v>1.45</v>
      </c>
      <c r="F82" s="61">
        <v>1.5</v>
      </c>
      <c r="G82" s="91">
        <v>101.6</v>
      </c>
      <c r="H82" s="62">
        <f t="shared" si="12"/>
        <v>5.0957969706088884</v>
      </c>
      <c r="I82" s="108">
        <v>27.42</v>
      </c>
      <c r="J82" s="108">
        <v>1.36</v>
      </c>
      <c r="K82" s="108">
        <v>19.68</v>
      </c>
      <c r="L82" s="108">
        <v>0.8</v>
      </c>
      <c r="M82" s="108">
        <v>1</v>
      </c>
    </row>
    <row r="83" spans="2:13" x14ac:dyDescent="0.25">
      <c r="B83" s="57"/>
      <c r="C83" s="58"/>
      <c r="D83" s="59"/>
      <c r="E83" s="64">
        <f t="shared" si="13"/>
        <v>1.5</v>
      </c>
      <c r="F83" s="61">
        <v>1.6</v>
      </c>
      <c r="G83" s="91">
        <v>62.3</v>
      </c>
      <c r="H83" s="62">
        <f t="shared" si="12"/>
        <v>3.1246865282375373</v>
      </c>
      <c r="I83" s="93">
        <v>32.68</v>
      </c>
      <c r="J83" s="93">
        <v>1.39</v>
      </c>
      <c r="K83" s="93">
        <v>18.899999999999999</v>
      </c>
      <c r="L83" s="93">
        <v>0.8</v>
      </c>
      <c r="M83" s="93">
        <v>1</v>
      </c>
    </row>
    <row r="84" spans="2:13" x14ac:dyDescent="0.25">
      <c r="B84" s="57"/>
      <c r="C84" s="58"/>
      <c r="D84" s="59"/>
      <c r="E84" s="64">
        <f t="shared" si="13"/>
        <v>1.6</v>
      </c>
      <c r="F84" s="61">
        <v>1.7</v>
      </c>
      <c r="G84" s="91">
        <v>44.1</v>
      </c>
      <c r="H84" s="62">
        <f t="shared" si="12"/>
        <v>2.2118567559434252</v>
      </c>
      <c r="I84" s="108">
        <v>43.12</v>
      </c>
      <c r="J84" s="108">
        <v>1.45</v>
      </c>
      <c r="K84" s="108">
        <v>16.96</v>
      </c>
      <c r="L84" s="108">
        <v>0.8</v>
      </c>
      <c r="M84" s="108">
        <v>0.5</v>
      </c>
    </row>
    <row r="85" spans="2:13" x14ac:dyDescent="0.25">
      <c r="B85" s="57"/>
      <c r="C85" s="58"/>
      <c r="D85" s="59"/>
      <c r="E85" s="64">
        <f t="shared" si="13"/>
        <v>1.7</v>
      </c>
      <c r="F85" s="61">
        <v>1.8</v>
      </c>
      <c r="G85" s="91">
        <v>31.9</v>
      </c>
      <c r="H85" s="62">
        <f t="shared" si="12"/>
        <v>1.5999598756144051</v>
      </c>
      <c r="I85" s="93">
        <v>47.9</v>
      </c>
      <c r="J85" s="93">
        <v>1.57</v>
      </c>
      <c r="K85" s="93">
        <v>16.12</v>
      </c>
      <c r="L85" s="93">
        <v>0.87</v>
      </c>
      <c r="M85" s="93">
        <v>0.5</v>
      </c>
    </row>
    <row r="86" spans="2:13" x14ac:dyDescent="0.25">
      <c r="B86" s="57"/>
      <c r="C86" s="58"/>
      <c r="D86" s="59"/>
      <c r="E86" s="64">
        <f t="shared" si="13"/>
        <v>1.8</v>
      </c>
      <c r="F86" s="61">
        <v>2</v>
      </c>
      <c r="G86" s="91">
        <v>62.1</v>
      </c>
      <c r="H86" s="62">
        <f t="shared" si="12"/>
        <v>3.1146554318387007</v>
      </c>
      <c r="I86" s="93">
        <v>56.92</v>
      </c>
      <c r="J86" s="93">
        <v>3.12</v>
      </c>
      <c r="K86" s="93">
        <v>13.77</v>
      </c>
      <c r="L86" s="93">
        <v>0.87</v>
      </c>
      <c r="M86" s="93">
        <v>0</v>
      </c>
    </row>
    <row r="87" spans="2:13" x14ac:dyDescent="0.25">
      <c r="B87" s="57"/>
      <c r="C87" s="58"/>
      <c r="D87" s="59"/>
      <c r="E87" s="64">
        <f t="shared" si="13"/>
        <v>2</v>
      </c>
      <c r="F87" s="61">
        <v>2.2000000000000002</v>
      </c>
      <c r="G87" s="91">
        <v>48.5</v>
      </c>
      <c r="H87" s="62">
        <f t="shared" si="12"/>
        <v>2.4325408767178258</v>
      </c>
      <c r="I87" s="93">
        <v>66.489999999999995</v>
      </c>
      <c r="J87" s="93">
        <v>1.26</v>
      </c>
      <c r="K87" s="93">
        <v>16.899999999999999</v>
      </c>
      <c r="L87" s="93">
        <v>1.24</v>
      </c>
      <c r="M87" s="93">
        <v>0</v>
      </c>
    </row>
    <row r="88" spans="2:13" x14ac:dyDescent="0.25">
      <c r="B88" s="57"/>
      <c r="C88" s="58"/>
      <c r="D88" s="59"/>
      <c r="E88" s="64">
        <f t="shared" si="13"/>
        <v>2.2000000000000002</v>
      </c>
      <c r="F88" s="61">
        <v>2.8</v>
      </c>
      <c r="G88" s="92">
        <v>116.6</v>
      </c>
      <c r="H88" s="62">
        <f t="shared" si="12"/>
        <v>5.8481292005216181</v>
      </c>
      <c r="I88" s="93">
        <v>69.84</v>
      </c>
      <c r="J88" s="93">
        <v>4.3899999999999997</v>
      </c>
      <c r="K88" s="94">
        <v>19.97</v>
      </c>
      <c r="L88" s="94">
        <v>4.83</v>
      </c>
      <c r="M88" s="94">
        <v>0</v>
      </c>
    </row>
    <row r="89" spans="2:13" x14ac:dyDescent="0.25">
      <c r="B89" s="121" t="s">
        <v>75</v>
      </c>
      <c r="C89" s="122"/>
      <c r="D89" s="122"/>
      <c r="E89" s="65"/>
      <c r="F89" s="66"/>
      <c r="G89" s="67">
        <f>SUM(G75:G88)</f>
        <v>1993.7999999999995</v>
      </c>
      <c r="H89" s="68">
        <f>SUM(H75:H88)</f>
        <v>100</v>
      </c>
      <c r="I89" s="69">
        <f>SUMPRODUCT($H$75:$H$88,I75:I88)/$H$89</f>
        <v>18.485881231818638</v>
      </c>
      <c r="J89" s="69">
        <f t="shared" ref="J89:M89" si="14">SUMPRODUCT($H$75:$H$88,J75:J88)/$H$89</f>
        <v>1.4426632560938912</v>
      </c>
      <c r="K89" s="69">
        <f t="shared" si="14"/>
        <v>24.137109539572688</v>
      </c>
      <c r="L89" s="69">
        <f t="shared" si="14"/>
        <v>1.0527871401344171</v>
      </c>
      <c r="M89" s="69">
        <f t="shared" si="14"/>
        <v>5.4059083157789178</v>
      </c>
    </row>
  </sheetData>
  <mergeCells count="14">
    <mergeCell ref="E1:F1"/>
    <mergeCell ref="E2:F2"/>
    <mergeCell ref="E5:F5"/>
    <mergeCell ref="E3:F3"/>
    <mergeCell ref="E4:F4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53" orientation="portrait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6"/>
  <sheetViews>
    <sheetView showGridLines="0" view="pageBreakPreview" zoomScale="98" zoomScaleNormal="100" zoomScaleSheetLayoutView="98" workbookViewId="0">
      <selection activeCell="J35" sqref="J35"/>
    </sheetView>
  </sheetViews>
  <sheetFormatPr defaultRowHeight="15" x14ac:dyDescent="0.25"/>
  <cols>
    <col min="1" max="1" width="5.7109375" customWidth="1"/>
    <col min="6" max="6" width="10.42578125" bestFit="1" customWidth="1"/>
  </cols>
  <sheetData>
    <row r="1" spans="2:11" x14ac:dyDescent="0.25">
      <c r="B1" s="1" t="s">
        <v>0</v>
      </c>
      <c r="C1" s="1"/>
      <c r="D1" s="130" t="str">
        <f>'Raw Coal analysis'!C1</f>
        <v>PR8_B35_4AU_01-08</v>
      </c>
      <c r="E1" s="130"/>
    </row>
    <row r="2" spans="2:11" x14ac:dyDescent="0.25">
      <c r="B2" s="1" t="s">
        <v>1</v>
      </c>
      <c r="C2" s="1"/>
      <c r="D2" s="70" t="s">
        <v>84</v>
      </c>
    </row>
    <row r="3" spans="2:11" x14ac:dyDescent="0.25">
      <c r="B3" s="1" t="s">
        <v>2</v>
      </c>
      <c r="C3" s="1"/>
      <c r="D3" s="130">
        <f>'Raw Coal analysis'!C3</f>
        <v>0</v>
      </c>
      <c r="E3" s="130"/>
    </row>
    <row r="4" spans="2:11" x14ac:dyDescent="0.25">
      <c r="B4" s="1" t="s">
        <v>3</v>
      </c>
      <c r="C4" s="1"/>
      <c r="D4" s="130">
        <f>'Raw Coal analysis'!C4</f>
        <v>0</v>
      </c>
      <c r="E4" s="130"/>
    </row>
    <row r="5" spans="2:11" x14ac:dyDescent="0.25">
      <c r="B5" s="1" t="s">
        <v>4</v>
      </c>
      <c r="C5" s="1"/>
      <c r="D5" s="131">
        <f>'Raw Coal analysis'!C5</f>
        <v>43668</v>
      </c>
      <c r="E5" s="131"/>
    </row>
    <row r="7" spans="2:11" ht="45" x14ac:dyDescent="0.25">
      <c r="B7" s="132" t="s">
        <v>59</v>
      </c>
      <c r="C7" s="133"/>
      <c r="D7" s="71" t="s">
        <v>60</v>
      </c>
      <c r="E7" s="72" t="s">
        <v>85</v>
      </c>
      <c r="F7" s="128" t="s">
        <v>62</v>
      </c>
      <c r="G7" s="129"/>
      <c r="H7" s="51" t="s">
        <v>63</v>
      </c>
      <c r="I7" s="51" t="s">
        <v>64</v>
      </c>
      <c r="J7" s="51" t="s">
        <v>65</v>
      </c>
      <c r="K7" s="51" t="s">
        <v>66</v>
      </c>
    </row>
    <row r="8" spans="2:11" x14ac:dyDescent="0.25">
      <c r="B8" s="52"/>
      <c r="C8" s="52"/>
      <c r="D8" s="52"/>
      <c r="E8" s="52"/>
      <c r="F8" s="52" t="s">
        <v>69</v>
      </c>
      <c r="G8" s="52" t="s">
        <v>70</v>
      </c>
      <c r="H8" s="52" t="s">
        <v>70</v>
      </c>
      <c r="I8" s="52" t="s">
        <v>71</v>
      </c>
      <c r="J8" s="52" t="s">
        <v>72</v>
      </c>
      <c r="K8" s="52"/>
    </row>
    <row r="9" spans="2:11" x14ac:dyDescent="0.25">
      <c r="B9" s="53" t="s">
        <v>86</v>
      </c>
      <c r="C9" s="54" t="s">
        <v>87</v>
      </c>
      <c r="D9" s="55"/>
      <c r="E9" s="56"/>
      <c r="F9" s="56"/>
      <c r="G9" s="56"/>
      <c r="H9" s="56"/>
      <c r="I9" s="56"/>
      <c r="J9" s="56"/>
      <c r="K9" s="56"/>
    </row>
    <row r="10" spans="2:11" x14ac:dyDescent="0.25">
      <c r="B10" s="57"/>
      <c r="C10" s="58"/>
      <c r="D10" s="59"/>
      <c r="E10" s="59" t="s">
        <v>88</v>
      </c>
      <c r="F10" s="85">
        <v>168.1</v>
      </c>
      <c r="G10" s="89"/>
      <c r="H10" s="87">
        <v>14.13</v>
      </c>
      <c r="I10" s="87">
        <v>0.73</v>
      </c>
      <c r="J10" s="87">
        <v>24.7</v>
      </c>
      <c r="K10" s="87">
        <v>6.5</v>
      </c>
    </row>
    <row r="11" spans="2:11" x14ac:dyDescent="0.25">
      <c r="B11" s="57"/>
      <c r="C11" s="58"/>
      <c r="D11" s="59"/>
      <c r="E11" s="59" t="s">
        <v>89</v>
      </c>
      <c r="F11" s="85">
        <v>125.5</v>
      </c>
      <c r="G11" s="62"/>
      <c r="H11" s="87">
        <v>17.059999999999999</v>
      </c>
      <c r="I11" s="87">
        <v>0.71</v>
      </c>
      <c r="J11" s="87">
        <v>23.93</v>
      </c>
      <c r="K11" s="87">
        <v>5.5</v>
      </c>
    </row>
    <row r="12" spans="2:11" x14ac:dyDescent="0.25">
      <c r="B12" s="57"/>
      <c r="C12" s="58"/>
      <c r="D12" s="59"/>
      <c r="E12" s="59" t="s">
        <v>90</v>
      </c>
      <c r="F12" s="85">
        <v>13.9</v>
      </c>
      <c r="G12" s="62"/>
      <c r="H12" s="87">
        <v>20.64</v>
      </c>
      <c r="I12" s="87">
        <v>0.67</v>
      </c>
      <c r="J12" s="87">
        <v>22.97</v>
      </c>
      <c r="K12" s="87">
        <v>5</v>
      </c>
    </row>
    <row r="13" spans="2:11" x14ac:dyDescent="0.25">
      <c r="B13" s="57"/>
      <c r="C13" s="58"/>
      <c r="D13" s="59"/>
      <c r="E13" s="59" t="s">
        <v>91</v>
      </c>
      <c r="F13" s="85">
        <v>2.5</v>
      </c>
      <c r="G13" s="62"/>
      <c r="H13" s="87">
        <v>32.26</v>
      </c>
      <c r="I13" s="87">
        <v>0.8</v>
      </c>
      <c r="J13" s="87">
        <v>22.02</v>
      </c>
      <c r="K13" s="87" t="s">
        <v>9</v>
      </c>
    </row>
    <row r="14" spans="2:11" x14ac:dyDescent="0.25">
      <c r="B14" s="57"/>
      <c r="C14" s="58"/>
      <c r="D14" s="59"/>
      <c r="E14" s="59" t="s">
        <v>92</v>
      </c>
      <c r="F14" s="85">
        <v>35.799999999999997</v>
      </c>
      <c r="G14" s="62"/>
      <c r="H14" s="87">
        <v>72.27</v>
      </c>
      <c r="I14" s="87">
        <v>0.74</v>
      </c>
      <c r="J14" s="87">
        <v>20.71</v>
      </c>
      <c r="K14" s="87">
        <v>0</v>
      </c>
    </row>
    <row r="15" spans="2:11" x14ac:dyDescent="0.25">
      <c r="B15" s="57"/>
      <c r="C15" s="58"/>
      <c r="D15" s="59"/>
      <c r="E15" s="59" t="s">
        <v>93</v>
      </c>
      <c r="F15" s="86">
        <v>1.5</v>
      </c>
      <c r="G15" s="62"/>
      <c r="H15" s="88">
        <v>56.34</v>
      </c>
      <c r="I15" s="88">
        <v>0.76</v>
      </c>
      <c r="J15" s="88">
        <v>20.69</v>
      </c>
      <c r="K15" s="88">
        <v>0</v>
      </c>
    </row>
    <row r="16" spans="2:11" x14ac:dyDescent="0.25">
      <c r="B16" s="121" t="s">
        <v>75</v>
      </c>
      <c r="C16" s="122"/>
      <c r="D16" s="122"/>
      <c r="E16" s="65"/>
      <c r="F16" s="73">
        <f>SUM(F10:F15)</f>
        <v>347.3</v>
      </c>
      <c r="G16" s="67"/>
      <c r="H16" s="68"/>
      <c r="I16" s="69"/>
      <c r="J16" s="68"/>
      <c r="K16" s="68"/>
    </row>
  </sheetData>
  <mergeCells count="7">
    <mergeCell ref="B7:C7"/>
    <mergeCell ref="F7:G7"/>
    <mergeCell ref="B16:D16"/>
    <mergeCell ref="D1:E1"/>
    <mergeCell ref="D3:E3"/>
    <mergeCell ref="D4:E4"/>
    <mergeCell ref="D5:E5"/>
  </mergeCells>
  <pageMargins left="0.7" right="0.7" top="0.75" bottom="0.75" header="0.3" footer="0.3"/>
  <pageSetup paperSize="9" scale="80"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6"/>
  <sheetViews>
    <sheetView showGridLines="0" view="pageBreakPreview" zoomScale="110" zoomScaleNormal="100" zoomScaleSheetLayoutView="110" workbookViewId="0">
      <selection activeCell="C14" sqref="C14"/>
    </sheetView>
  </sheetViews>
  <sheetFormatPr defaultRowHeight="15" x14ac:dyDescent="0.2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t="str">
        <f>'Raw Coal analysis'!C1</f>
        <v>PR8_B35_4AU_01-08</v>
      </c>
    </row>
    <row r="2" spans="2:10" x14ac:dyDescent="0.25">
      <c r="B2" s="1" t="s">
        <v>1</v>
      </c>
      <c r="C2" t="s">
        <v>95</v>
      </c>
    </row>
    <row r="3" spans="2:10" x14ac:dyDescent="0.25">
      <c r="B3" s="1" t="s">
        <v>2</v>
      </c>
      <c r="C3">
        <f>'Raw Coal analysis'!C3</f>
        <v>0</v>
      </c>
    </row>
    <row r="4" spans="2:10" x14ac:dyDescent="0.25">
      <c r="B4" s="1" t="s">
        <v>3</v>
      </c>
      <c r="C4">
        <f>'Raw Coal analysis'!C4</f>
        <v>0</v>
      </c>
    </row>
    <row r="5" spans="2:10" x14ac:dyDescent="0.25">
      <c r="B5" s="1" t="s">
        <v>4</v>
      </c>
      <c r="C5" s="84">
        <f>'Raw Coal analysis'!C5</f>
        <v>43668</v>
      </c>
    </row>
    <row r="8" spans="2:10" ht="28.5" x14ac:dyDescent="0.25">
      <c r="B8" s="74" t="s">
        <v>5</v>
      </c>
      <c r="C8" s="75" t="s">
        <v>94</v>
      </c>
      <c r="D8" s="4"/>
      <c r="E8" s="4"/>
      <c r="F8" s="4"/>
      <c r="G8" s="4"/>
      <c r="H8" s="4"/>
      <c r="I8" s="4"/>
      <c r="J8" s="4"/>
    </row>
    <row r="9" spans="2:10" x14ac:dyDescent="0.25">
      <c r="B9" s="74" t="s">
        <v>6</v>
      </c>
      <c r="C9" s="5"/>
      <c r="E9" s="6"/>
      <c r="F9" s="6"/>
    </row>
    <row r="10" spans="2:10" x14ac:dyDescent="0.25">
      <c r="B10" s="74" t="s">
        <v>7</v>
      </c>
      <c r="C10" s="5"/>
    </row>
    <row r="11" spans="2:10" x14ac:dyDescent="0.25">
      <c r="B11" s="74" t="s">
        <v>8</v>
      </c>
      <c r="C11" s="7" t="s">
        <v>9</v>
      </c>
    </row>
    <row r="12" spans="2:10" x14ac:dyDescent="0.25">
      <c r="B12" s="74" t="s">
        <v>10</v>
      </c>
      <c r="C12" s="7" t="s">
        <v>9</v>
      </c>
    </row>
    <row r="13" spans="2:10" x14ac:dyDescent="0.25">
      <c r="B13" s="74" t="s">
        <v>11</v>
      </c>
      <c r="C13" s="5"/>
    </row>
    <row r="14" spans="2:10" x14ac:dyDescent="0.25">
      <c r="B14" s="74" t="s">
        <v>12</v>
      </c>
      <c r="C14" s="5"/>
    </row>
    <row r="15" spans="2:10" x14ac:dyDescent="0.25">
      <c r="B15" s="74" t="s">
        <v>13</v>
      </c>
      <c r="C15" s="5"/>
    </row>
    <row r="16" spans="2:10" x14ac:dyDescent="0.25">
      <c r="B16" s="74" t="s">
        <v>14</v>
      </c>
      <c r="C16" s="5"/>
    </row>
    <row r="17" spans="2:3" x14ac:dyDescent="0.25">
      <c r="B17" s="74" t="s">
        <v>15</v>
      </c>
      <c r="C17" s="5"/>
    </row>
    <row r="18" spans="2:3" x14ac:dyDescent="0.25">
      <c r="B18" s="8"/>
    </row>
    <row r="20" spans="2:3" x14ac:dyDescent="0.25">
      <c r="B20" s="9" t="s">
        <v>16</v>
      </c>
    </row>
    <row r="21" spans="2:3" ht="29.45" customHeight="1" x14ac:dyDescent="0.25">
      <c r="B21" s="76" t="s">
        <v>17</v>
      </c>
      <c r="C21" s="3"/>
    </row>
    <row r="22" spans="2:3" x14ac:dyDescent="0.25">
      <c r="B22" s="74" t="s">
        <v>18</v>
      </c>
      <c r="C22" s="5"/>
    </row>
    <row r="23" spans="2:3" x14ac:dyDescent="0.25">
      <c r="B23" s="11"/>
      <c r="C23" s="5"/>
    </row>
    <row r="24" spans="2:3" x14ac:dyDescent="0.25">
      <c r="B24" s="74" t="s">
        <v>19</v>
      </c>
      <c r="C24" s="7"/>
    </row>
    <row r="25" spans="2:3" x14ac:dyDescent="0.25">
      <c r="B25" s="74" t="s">
        <v>20</v>
      </c>
      <c r="C25" s="7"/>
    </row>
    <row r="26" spans="2:3" x14ac:dyDescent="0.25">
      <c r="B26" s="74" t="s">
        <v>21</v>
      </c>
      <c r="C26" s="5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chpp.lab</cp:lastModifiedBy>
  <dcterms:created xsi:type="dcterms:W3CDTF">2015-06-05T18:17:20Z</dcterms:created>
  <dcterms:modified xsi:type="dcterms:W3CDTF">2019-09-05T17:32:41Z</dcterms:modified>
</cp:coreProperties>
</file>