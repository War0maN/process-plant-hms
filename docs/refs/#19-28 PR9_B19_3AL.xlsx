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ECHNICAL SERVICES\10.0 PROCESS\4. RAW Coal Quality\1. WASHABILITY\Wet tumbler - washability report\PR9_B19_3AL\"/>
    </mc:Choice>
  </mc:AlternateContent>
  <bookViews>
    <workbookView xWindow="0" yWindow="0" windowWidth="28800" windowHeight="12330"/>
  </bookViews>
  <sheets>
    <sheet name="Raw Coal analysis" sheetId="3" r:id="rId1"/>
    <sheet name="Pretreatment" sheetId="4" r:id="rId2"/>
    <sheet name="Float sink" sheetId="5" r:id="rId3"/>
    <sheet name="Froth Flotation" sheetId="6" r:id="rId4"/>
    <sheet name="Composite Product Analysis " sheetId="7" r:id="rId5"/>
  </sheets>
  <definedNames>
    <definedName name="\Convergence">"1000000.000000"</definedName>
    <definedName name="\IterationCount">0</definedName>
    <definedName name="\WorstStream">" "</definedName>
    <definedName name="_xlnm.Print_Area" localSheetId="4">'Composite Product Analysis '!$A$1:$D$29</definedName>
    <definedName name="_xlnm.Print_Area" localSheetId="2">'Float sink'!$A$1:$M$90</definedName>
    <definedName name="_xlnm.Print_Area" localSheetId="3">'Froth Flotation'!$A$1:$L$18</definedName>
    <definedName name="_xlnm.Print_Area" localSheetId="1">Pretreatment!$A$1:$K$51</definedName>
    <definedName name="_xlnm.Print_Area" localSheetId="0">'Raw Coal analysis'!$A$1:$C$28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34" i="4" l="1"/>
  <c r="M35" i="4"/>
  <c r="M36" i="4"/>
  <c r="M37" i="4"/>
  <c r="M38" i="4"/>
  <c r="M39" i="4"/>
  <c r="M40" i="4"/>
  <c r="M41" i="4"/>
  <c r="M42" i="4"/>
  <c r="M43" i="4"/>
  <c r="M44" i="4"/>
  <c r="M33" i="4"/>
  <c r="D14" i="4" l="1"/>
  <c r="C3" i="7" l="1"/>
  <c r="C4" i="7"/>
  <c r="C5" i="7"/>
  <c r="C1" i="7"/>
  <c r="D28" i="4"/>
  <c r="D26" i="4"/>
  <c r="D29" i="4" s="1"/>
  <c r="D47" i="4"/>
  <c r="D12" i="4" l="1"/>
  <c r="D15" i="4" s="1"/>
  <c r="E15" i="4" s="1"/>
  <c r="E10" i="4" l="1"/>
  <c r="E11" i="4" l="1"/>
  <c r="G41" i="5" l="1"/>
  <c r="H27" i="5" l="1"/>
  <c r="H40" i="5"/>
  <c r="D45" i="4"/>
  <c r="D48" i="4" s="1"/>
  <c r="E33" i="4" l="1"/>
  <c r="F16" i="6" l="1"/>
  <c r="D4" i="6"/>
  <c r="D5" i="6"/>
  <c r="D3" i="6"/>
  <c r="D1" i="6"/>
  <c r="E3" i="5"/>
  <c r="E4" i="5"/>
  <c r="E5" i="5"/>
  <c r="E1" i="5"/>
  <c r="C5" i="4"/>
  <c r="C6" i="4"/>
  <c r="C4" i="4"/>
  <c r="C2" i="4"/>
  <c r="G10" i="6" l="1"/>
  <c r="G15" i="6"/>
  <c r="G11" i="6"/>
  <c r="G13" i="6"/>
  <c r="G12" i="6"/>
  <c r="G14" i="6"/>
  <c r="G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G73" i="5"/>
  <c r="H72" i="5" s="1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G57" i="5"/>
  <c r="H56" i="5" s="1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G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41" i="4"/>
  <c r="E48" i="4"/>
  <c r="E25" i="4"/>
  <c r="E29" i="4"/>
  <c r="E14" i="4"/>
  <c r="H20" i="5" l="1"/>
  <c r="H23" i="5"/>
  <c r="H24" i="5"/>
  <c r="H84" i="5"/>
  <c r="H85" i="5"/>
  <c r="H83" i="5"/>
  <c r="H86" i="5"/>
  <c r="H87" i="5"/>
  <c r="H88" i="5"/>
  <c r="H12" i="5"/>
  <c r="H11" i="5"/>
  <c r="G16" i="6"/>
  <c r="H16" i="6" s="1"/>
  <c r="H77" i="5"/>
  <c r="H81" i="5"/>
  <c r="H75" i="5"/>
  <c r="H78" i="5"/>
  <c r="H82" i="5"/>
  <c r="H79" i="5"/>
  <c r="H76" i="5"/>
  <c r="H80" i="5"/>
  <c r="H63" i="5"/>
  <c r="H60" i="5"/>
  <c r="H64" i="5"/>
  <c r="H68" i="5"/>
  <c r="H61" i="5"/>
  <c r="H65" i="5"/>
  <c r="H69" i="5"/>
  <c r="H59" i="5"/>
  <c r="H62" i="5"/>
  <c r="H66" i="5"/>
  <c r="H70" i="5"/>
  <c r="H67" i="5"/>
  <c r="H71" i="5"/>
  <c r="H46" i="5"/>
  <c r="H50" i="5"/>
  <c r="H54" i="5"/>
  <c r="H47" i="5"/>
  <c r="H51" i="5"/>
  <c r="H44" i="5"/>
  <c r="H48" i="5"/>
  <c r="H52" i="5"/>
  <c r="H45" i="5"/>
  <c r="H49" i="5"/>
  <c r="H53" i="5"/>
  <c r="H43" i="5"/>
  <c r="H30" i="5"/>
  <c r="H34" i="5"/>
  <c r="H31" i="5"/>
  <c r="H35" i="5"/>
  <c r="H39" i="5"/>
  <c r="H28" i="5"/>
  <c r="H32" i="5"/>
  <c r="H36" i="5"/>
  <c r="H29" i="5"/>
  <c r="H33" i="5"/>
  <c r="H37" i="5"/>
  <c r="H38" i="5"/>
  <c r="E12" i="4"/>
  <c r="E38" i="4"/>
  <c r="E39" i="4"/>
  <c r="E42" i="4"/>
  <c r="E35" i="4"/>
  <c r="E22" i="4"/>
  <c r="E34" i="4"/>
  <c r="E43" i="4"/>
  <c r="E21" i="4"/>
  <c r="E19" i="4"/>
  <c r="E23" i="4"/>
  <c r="E28" i="4"/>
  <c r="E45" i="4"/>
  <c r="E20" i="4"/>
  <c r="E24" i="4"/>
  <c r="H15" i="5"/>
  <c r="H19" i="5"/>
  <c r="E26" i="4"/>
  <c r="E36" i="4"/>
  <c r="E40" i="4"/>
  <c r="E44" i="4"/>
  <c r="E47" i="4"/>
  <c r="H13" i="5"/>
  <c r="H17" i="5"/>
  <c r="E37" i="4"/>
  <c r="H14" i="5"/>
  <c r="H16" i="5"/>
  <c r="H18" i="5"/>
  <c r="I16" i="6" l="1"/>
  <c r="H41" i="5"/>
  <c r="M41" i="5" s="1"/>
  <c r="K16" i="6"/>
  <c r="H73" i="5"/>
  <c r="L73" i="5" s="1"/>
  <c r="H25" i="5"/>
  <c r="J25" i="5" s="1"/>
  <c r="L16" i="6"/>
  <c r="J16" i="6"/>
  <c r="H57" i="5"/>
  <c r="I57" i="5" s="1"/>
  <c r="H89" i="5"/>
  <c r="K89" i="5" s="1"/>
  <c r="L41" i="5" l="1"/>
  <c r="I73" i="5"/>
  <c r="M89" i="5"/>
  <c r="K25" i="5"/>
  <c r="M25" i="5"/>
  <c r="I25" i="5"/>
  <c r="I89" i="5"/>
  <c r="J89" i="5"/>
  <c r="J73" i="5"/>
  <c r="I41" i="5"/>
  <c r="J41" i="5"/>
  <c r="K41" i="5"/>
  <c r="M73" i="5"/>
  <c r="L89" i="5"/>
  <c r="K73" i="5"/>
  <c r="M57" i="5"/>
  <c r="L57" i="5"/>
  <c r="J57" i="5"/>
  <c r="L25" i="5"/>
  <c r="K57" i="5"/>
</calcChain>
</file>

<file path=xl/sharedStrings.xml><?xml version="1.0" encoding="utf-8"?>
<sst xmlns="http://schemas.openxmlformats.org/spreadsheetml/2006/main" count="218" uniqueCount="100">
  <si>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</si>
  <si>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</si>
  <si>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</si>
  <si>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</si>
  <si>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</si>
  <si>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</si>
  <si>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</si>
  <si>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</si>
  <si>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</si>
  <si>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</si>
  <si>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</si>
  <si>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</si>
  <si>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</si>
  <si>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</si>
  <si>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</si>
  <si>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Petrograph </t>
  </si>
  <si>
    <t>Mean Maximum Reflactance (RoMax )</t>
  </si>
  <si>
    <t xml:space="preserve">Random Reflactance </t>
  </si>
  <si>
    <t xml:space="preserve">Vitrinite </t>
  </si>
  <si>
    <t xml:space="preserve">Liptinite </t>
  </si>
  <si>
    <t xml:space="preserve">Inertinite </t>
  </si>
  <si>
    <t xml:space="preserve">Dry and Wet Sizing </t>
  </si>
  <si>
    <r>
      <t xml:space="preserve">Жингээр унагах туршилтын дараах шигшилт: </t>
    </r>
    <r>
      <rPr>
        <i/>
        <sz val="11"/>
        <color theme="1"/>
        <rFont val="0 Arial "/>
        <family val="2"/>
        <charset val="204"/>
      </rPr>
      <t xml:space="preserve">2 метр, 15 удаа </t>
    </r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</si>
  <si>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</si>
  <si>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</si>
  <si>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</si>
  <si>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</si>
  <si>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</si>
  <si>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</si>
  <si>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</si>
  <si>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</si>
  <si>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</si>
  <si>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</si>
  <si>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</si>
  <si>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</si>
  <si>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</si>
  <si>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</si>
  <si>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</si>
  <si>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</si>
  <si>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</si>
  <si>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</si>
  <si>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</si>
  <si>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</si>
  <si>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</si>
  <si>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</si>
  <si>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</si>
  <si>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</si>
  <si>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</si>
  <si>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</si>
  <si>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</si>
  <si>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</si>
  <si>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</si>
  <si>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</si>
  <si>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</si>
  <si>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</si>
  <si>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</si>
  <si>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</si>
  <si>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</si>
  <si>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</si>
  <si>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</si>
  <si>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</si>
  <si>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</si>
  <si>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</si>
  <si>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</si>
  <si>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</si>
  <si>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</si>
  <si>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</si>
  <si>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</si>
  <si>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</si>
  <si>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</si>
  <si>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</si>
  <si>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</si>
  <si>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</si>
  <si>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</si>
  <si>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</si>
  <si>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</si>
  <si>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</si>
  <si>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</si>
  <si>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</si>
  <si>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</si>
  <si>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</si>
  <si>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</si>
  <si>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</si>
  <si>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</si>
  <si>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</si>
  <si>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</si>
  <si>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</si>
  <si>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</si>
  <si>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</si>
  <si>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</si>
  <si>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</si>
  <si>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</si>
  <si>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</si>
  <si>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</si>
  <si>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</si>
  <si>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Composite Product Analysis </t>
  </si>
  <si>
    <t>Process team</t>
  </si>
  <si>
    <t>PR9_B19_3AL</t>
  </si>
  <si>
    <t>2019.10.04</t>
  </si>
  <si>
    <t>2019.10.10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</si>
</sst>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0 Arial "/>
      <family val="2"/>
      <charset val="204"/>
    </font>
    <font>
      <b/>
      <sz val="11"/>
      <color theme="1"/>
      <name val="0 Arial "/>
      <family val="2"/>
      <charset val="204"/>
    </font>
    <font>
      <i/>
      <sz val="11"/>
      <color theme="1"/>
      <name val="0 Arial "/>
      <family val="2"/>
      <charset val="204"/>
    </font>
    <font>
      <b/>
      <u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10"/>
      <name val="Arial"/>
      <family val="2"/>
    </font>
    <font>
      <sz val="11"/>
      <color rgb="FF0000FF"/>
      <name val="0 Arial 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164" fontId="3" fillId="0" borderId="0" xfId="1" applyNumberFormat="1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5" xfId="0" quotePrefix="1" applyFont="1" applyBorder="1" applyAlignment="1">
      <alignment horizontal="right"/>
    </xf>
    <xf numFmtId="0" fontId="3" fillId="0" borderId="6" xfId="0" quotePrefix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164" fontId="3" fillId="0" borderId="2" xfId="1" applyNumberFormat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right"/>
    </xf>
    <xf numFmtId="0" fontId="3" fillId="0" borderId="11" xfId="0" quotePrefix="1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10" xfId="0" applyFont="1" applyBorder="1" applyAlignment="1">
      <alignment horizontal="right"/>
    </xf>
    <xf numFmtId="164" fontId="3" fillId="0" borderId="4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quotePrefix="1" applyFont="1" applyBorder="1"/>
    <xf numFmtId="0" fontId="2" fillId="0" borderId="2" xfId="0" quotePrefix="1" applyFont="1" applyBorder="1"/>
    <xf numFmtId="0" fontId="0" fillId="0" borderId="3" xfId="0" quotePrefix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9" fillId="0" borderId="8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10" fillId="0" borderId="9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8" xfId="0" applyFont="1" applyFill="1" applyBorder="1"/>
    <xf numFmtId="0" fontId="2" fillId="0" borderId="10" xfId="0" applyFont="1" applyFill="1" applyBorder="1"/>
    <xf numFmtId="0" fontId="6" fillId="0" borderId="10" xfId="0" applyFont="1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6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2" fillId="0" borderId="4" xfId="0" quotePrefix="1" applyFont="1" applyFill="1" applyBorder="1"/>
    <xf numFmtId="0" fontId="2" fillId="0" borderId="2" xfId="0" quotePrefix="1" applyFont="1" applyFill="1" applyBorder="1"/>
    <xf numFmtId="0" fontId="0" fillId="0" borderId="3" xfId="0" quotePrefix="1" applyFill="1" applyBorder="1"/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2" fontId="7" fillId="0" borderId="6" xfId="0" quotePrefix="1" applyNumberFormat="1" applyFont="1" applyFill="1" applyBorder="1" applyAlignment="1">
      <alignment horizontal="center"/>
    </xf>
    <xf numFmtId="165" fontId="7" fillId="0" borderId="6" xfId="0" applyNumberFormat="1" applyFont="1" applyFill="1" applyBorder="1" applyAlignment="1">
      <alignment horizontal="center"/>
    </xf>
    <xf numFmtId="2" fontId="7" fillId="0" borderId="6" xfId="0" applyNumberFormat="1" applyFont="1" applyFill="1" applyBorder="1" applyAlignment="1">
      <alignment horizontal="center"/>
    </xf>
    <xf numFmtId="2" fontId="8" fillId="0" borderId="6" xfId="0" applyNumberFormat="1" applyFont="1" applyFill="1" applyBorder="1" applyAlignment="1">
      <alignment horizontal="center"/>
    </xf>
    <xf numFmtId="2" fontId="9" fillId="0" borderId="8" xfId="0" applyNumberFormat="1" applyFont="1" applyFill="1" applyBorder="1" applyAlignment="1">
      <alignment horizontal="center"/>
    </xf>
    <xf numFmtId="165" fontId="10" fillId="0" borderId="9" xfId="0" applyNumberFormat="1" applyFont="1" applyFill="1" applyBorder="1" applyAlignment="1">
      <alignment horizontal="center"/>
    </xf>
    <xf numFmtId="164" fontId="10" fillId="0" borderId="1" xfId="1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10" fillId="0" borderId="10" xfId="0" applyNumberFormat="1" applyFont="1" applyFill="1" applyBorder="1" applyAlignment="1">
      <alignment horizontal="center"/>
    </xf>
    <xf numFmtId="0" fontId="3" fillId="0" borderId="0" xfId="0" applyFont="1" applyFill="1"/>
    <xf numFmtId="43" fontId="3" fillId="5" borderId="6" xfId="1" applyNumberFormat="1" applyFont="1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43" fontId="3" fillId="5" borderId="1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/>
    </xf>
    <xf numFmtId="2" fontId="10" fillId="0" borderId="9" xfId="0" applyNumberFormat="1" applyFont="1" applyFill="1" applyBorder="1" applyAlignment="1">
      <alignment horizontal="center"/>
    </xf>
    <xf numFmtId="0" fontId="12" fillId="5" borderId="0" xfId="0" applyFont="1" applyFill="1"/>
    <xf numFmtId="0" fontId="0" fillId="0" borderId="0" xfId="0" quotePrefix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43" fontId="11" fillId="5" borderId="6" xfId="1" applyNumberFormat="1" applyFont="1" applyFill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43" fontId="3" fillId="0" borderId="11" xfId="0" applyNumberFormat="1" applyFont="1" applyBorder="1"/>
    <xf numFmtId="43" fontId="3" fillId="0" borderId="1" xfId="0" applyNumberFormat="1" applyFont="1" applyBorder="1"/>
    <xf numFmtId="165" fontId="13" fillId="0" borderId="6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2" fontId="15" fillId="0" borderId="10" xfId="0" applyNumberFormat="1" applyFont="1" applyFill="1" applyBorder="1" applyAlignment="1">
      <alignment horizontal="center"/>
    </xf>
    <xf numFmtId="2" fontId="15" fillId="0" borderId="9" xfId="0" applyNumberFormat="1" applyFont="1" applyFill="1" applyBorder="1" applyAlignment="1">
      <alignment horizontal="center"/>
    </xf>
    <xf numFmtId="167" fontId="11" fillId="5" borderId="6" xfId="0" applyNumberFormat="1" applyFont="1" applyFill="1" applyBorder="1" applyAlignment="1">
      <alignment horizontal="center"/>
    </xf>
    <xf numFmtId="43" fontId="10" fillId="0" borderId="1" xfId="0" applyNumberFormat="1" applyFont="1" applyBorder="1" applyAlignment="1">
      <alignment horizontal="center"/>
    </xf>
    <xf numFmtId="0" fontId="14" fillId="5" borderId="2" xfId="0" applyFont="1" applyFill="1" applyBorder="1" applyAlignment="1">
      <alignment horizontal="right"/>
    </xf>
    <xf numFmtId="43" fontId="16" fillId="5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2" fontId="3" fillId="5" borderId="6" xfId="0" applyNumberFormat="1" applyFont="1" applyFill="1" applyBorder="1" applyAlignment="1">
      <alignment horizontal="center"/>
    </xf>
    <xf numFmtId="0" fontId="3" fillId="0" borderId="7" xfId="0" quotePrefix="1" applyFont="1" applyBorder="1" applyAlignment="1">
      <alignment horizontal="right"/>
    </xf>
    <xf numFmtId="0" fontId="3" fillId="0" borderId="7" xfId="0" applyFont="1" applyBorder="1"/>
    <xf numFmtId="10" fontId="3" fillId="0" borderId="7" xfId="2" applyNumberFormat="1" applyFont="1" applyBorder="1" applyAlignment="1">
      <alignment horizontal="right" vertical="center"/>
    </xf>
    <xf numFmtId="10" fontId="3" fillId="0" borderId="9" xfId="2" applyNumberFormat="1" applyFont="1" applyBorder="1" applyAlignment="1">
      <alignment horizontal="right" vertical="center"/>
    </xf>
    <xf numFmtId="10" fontId="3" fillId="0" borderId="9" xfId="0" applyNumberFormat="1" applyFont="1" applyBorder="1" applyAlignment="1">
      <alignment horizontal="right" vertical="center"/>
    </xf>
    <xf numFmtId="10" fontId="3" fillId="0" borderId="11" xfId="2" applyNumberFormat="1" applyFont="1" applyBorder="1" applyAlignment="1">
      <alignment horizontal="right" vertical="center"/>
    </xf>
    <xf numFmtId="10" fontId="3" fillId="0" borderId="1" xfId="2" applyNumberFormat="1" applyFont="1" applyBorder="1" applyAlignment="1">
      <alignment horizontal="right" vertical="center"/>
    </xf>
    <xf numFmtId="10" fontId="3" fillId="0" borderId="7" xfId="2" applyNumberFormat="1" applyFont="1" applyBorder="1" applyAlignment="1">
      <alignment horizontal="right"/>
    </xf>
    <xf numFmtId="10" fontId="3" fillId="0" borderId="9" xfId="2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10" fontId="3" fillId="0" borderId="11" xfId="2" applyNumberFormat="1" applyFont="1" applyBorder="1" applyAlignment="1">
      <alignment horizontal="right"/>
    </xf>
    <xf numFmtId="10" fontId="3" fillId="0" borderId="1" xfId="2" applyNumberFormat="1" applyFont="1" applyBorder="1" applyAlignment="1">
      <alignment horizontal="right"/>
    </xf>
    <xf numFmtId="43" fontId="3" fillId="5" borderId="5" xfId="1" applyNumberFormat="1" applyFont="1" applyFill="1" applyBorder="1" applyAlignment="1">
      <alignment horizontal="right" vertical="center"/>
    </xf>
    <xf numFmtId="43" fontId="3" fillId="5" borderId="6" xfId="1" applyNumberFormat="1" applyFont="1" applyFill="1" applyBorder="1" applyAlignment="1">
      <alignment horizontal="right" vertical="center"/>
    </xf>
    <xf numFmtId="43" fontId="3" fillId="5" borderId="15" xfId="1" applyNumberFormat="1" applyFont="1" applyFill="1" applyBorder="1" applyAlignment="1">
      <alignment horizontal="right" vertical="center"/>
    </xf>
    <xf numFmtId="43" fontId="3" fillId="5" borderId="11" xfId="1" applyNumberFormat="1" applyFont="1" applyFill="1" applyBorder="1" applyAlignment="1">
      <alignment horizontal="right" vertical="center"/>
    </xf>
    <xf numFmtId="166" fontId="3" fillId="5" borderId="6" xfId="1" applyNumberFormat="1" applyFont="1" applyFill="1" applyBorder="1" applyAlignment="1">
      <alignment horizontal="right" vertical="center"/>
    </xf>
    <xf numFmtId="43" fontId="3" fillId="5" borderId="5" xfId="0" applyNumberFormat="1" applyFont="1" applyFill="1" applyBorder="1" applyAlignment="1">
      <alignment horizontal="right"/>
    </xf>
    <xf numFmtId="166" fontId="3" fillId="5" borderId="6" xfId="0" applyNumberFormat="1" applyFont="1" applyFill="1" applyBorder="1" applyAlignment="1">
      <alignment horizontal="right"/>
    </xf>
    <xf numFmtId="43" fontId="3" fillId="5" borderId="15" xfId="0" applyNumberFormat="1" applyFont="1" applyFill="1" applyBorder="1" applyAlignment="1">
      <alignment horizontal="right"/>
    </xf>
    <xf numFmtId="166" fontId="3" fillId="5" borderId="11" xfId="0" applyNumberFormat="1" applyFont="1" applyFill="1" applyBorder="1" applyAlignment="1">
      <alignment horizontal="right"/>
    </xf>
    <xf numFmtId="2" fontId="3" fillId="0" borderId="1" xfId="1" applyNumberFormat="1" applyFont="1" applyBorder="1" applyAlignment="1">
      <alignment horizontal="right" vertical="center"/>
    </xf>
    <xf numFmtId="167" fontId="3" fillId="0" borderId="1" xfId="1" applyNumberFormat="1" applyFont="1" applyBorder="1" applyAlignment="1">
      <alignment horizontal="right" vertical="center"/>
    </xf>
    <xf numFmtId="1" fontId="3" fillId="0" borderId="1" xfId="1" applyNumberFormat="1" applyFont="1" applyBorder="1" applyAlignment="1">
      <alignment horizontal="right" vertical="center"/>
    </xf>
    <xf numFmtId="43" fontId="1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2" fillId="0" borderId="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5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left"/>
    </xf>
    <xf numFmtId="2" fontId="3" fillId="0" borderId="0" xfId="1" applyNumberFormat="1" applyFont="1" applyBorder="1" applyAlignment="1">
      <alignment horizontal="center" vertical="center"/>
    </xf>
    <xf numFmtId="2" fontId="3" fillId="0" borderId="0" xfId="0" applyNumberFormat="1" applyFont="1" applyBorder="1"/>
    <xf numFmtId="43" fontId="3" fillId="6" borderId="5" xfId="1" applyNumberFormat="1" applyFont="1" applyFill="1" applyBorder="1" applyAlignment="1">
      <alignment horizontal="right" vertical="center"/>
    </xf>
    <xf numFmtId="43" fontId="3" fillId="6" borderId="6" xfId="1" applyNumberFormat="1" applyFont="1" applyFill="1" applyBorder="1" applyAlignment="1">
      <alignment horizontal="right" vertical="center"/>
    </xf>
    <xf numFmtId="43" fontId="3" fillId="6" borderId="15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CCFFCC"/>
      <color rgb="FFFFCC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showGridLines="0" tabSelected="1" view="pageBreakPreview" zoomScaleSheetLayoutView="100" workbookViewId="0">
      <selection activeCell="G19" sqref="G19"/>
    </sheetView>
  </sheetViews>
  <sheetFormatPr defaultRowHeight="15"/>
  <cols>
    <col min="1" max="1" width="4.140625" customWidth="1"/>
    <col min="2" max="2" width="24.85546875" customWidth="1"/>
    <col min="3" max="3" width="23.85546875" customWidth="1"/>
    <col min="4" max="4" width="15.5703125" customWidth="1"/>
    <col min="6" max="7" width="10.7109375" bestFit="1" customWidth="1"/>
  </cols>
  <sheetData>
    <row r="1" spans="2:10">
      <c r="B1" s="1" t="s">
        <v>0</v>
      </c>
      <c r="C1" s="88" t="s">
        <v>97</v>
      </c>
    </row>
    <row r="2" spans="2:10">
      <c r="B2" s="1" t="s">
        <v>1</v>
      </c>
      <c r="C2" t="s">
        <v>91</v>
      </c>
    </row>
    <row r="3" spans="2:10">
      <c r="B3" s="1" t="s">
        <v>2</v>
      </c>
      <c r="C3" s="81" t="s">
        <v>99</v>
      </c>
    </row>
    <row r="4" spans="2:10">
      <c r="B4" s="1" t="s">
        <v>3</v>
      </c>
      <c r="C4" s="81" t="s">
        <v>96</v>
      </c>
    </row>
    <row r="5" spans="2:10">
      <c r="B5" s="1" t="s">
        <v>4</v>
      </c>
      <c r="C5" s="81" t="s">
        <v>98</v>
      </c>
    </row>
    <row r="7" spans="2:10">
      <c r="B7" s="2" t="s">
        <v>5</v>
      </c>
      <c r="C7" s="82">
        <v>28</v>
      </c>
      <c r="D7" s="4"/>
      <c r="E7" s="4"/>
      <c r="F7" s="4"/>
      <c r="G7" s="4"/>
      <c r="H7" s="4"/>
      <c r="I7" s="4"/>
      <c r="J7" s="4"/>
    </row>
    <row r="8" spans="2:10">
      <c r="B8" s="2" t="s">
        <v>6</v>
      </c>
      <c r="C8" s="83"/>
      <c r="E8" s="6"/>
      <c r="F8" s="6"/>
    </row>
    <row r="9" spans="2:10">
      <c r="B9" s="2" t="s">
        <v>7</v>
      </c>
      <c r="C9" s="83">
        <v>2.5299999999999998</v>
      </c>
    </row>
    <row r="10" spans="2:10">
      <c r="B10" s="2" t="s">
        <v>8</v>
      </c>
      <c r="C10" s="83">
        <v>0.67</v>
      </c>
    </row>
    <row r="11" spans="2:10">
      <c r="B11" s="2" t="s">
        <v>10</v>
      </c>
      <c r="C11" s="83">
        <v>15.78</v>
      </c>
    </row>
    <row r="12" spans="2:10">
      <c r="B12" s="2" t="s">
        <v>11</v>
      </c>
      <c r="C12" s="83">
        <v>19.739999999999998</v>
      </c>
    </row>
    <row r="13" spans="2:10">
      <c r="B13" s="2" t="s">
        <v>12</v>
      </c>
      <c r="C13" s="84">
        <v>7</v>
      </c>
    </row>
    <row r="14" spans="2:10">
      <c r="B14" s="2" t="s">
        <v>13</v>
      </c>
      <c r="C14" s="85">
        <v>71</v>
      </c>
    </row>
    <row r="15" spans="2:10">
      <c r="B15" s="2" t="s">
        <v>14</v>
      </c>
      <c r="C15" s="83">
        <v>0.84</v>
      </c>
    </row>
    <row r="16" spans="2:10">
      <c r="B16" s="2" t="s">
        <v>94</v>
      </c>
      <c r="C16" s="83">
        <v>1.44</v>
      </c>
    </row>
    <row r="17" spans="2:3">
      <c r="B17" s="8"/>
    </row>
    <row r="19" spans="2:3">
      <c r="B19" s="9" t="s">
        <v>15</v>
      </c>
    </row>
    <row r="20" spans="2:3" ht="29.45" customHeight="1">
      <c r="B20" s="10" t="s">
        <v>16</v>
      </c>
      <c r="C20" s="3"/>
    </row>
    <row r="21" spans="2:3">
      <c r="B21" s="2" t="s">
        <v>17</v>
      </c>
      <c r="C21" s="5"/>
    </row>
    <row r="22" spans="2:3">
      <c r="B22" s="11"/>
      <c r="C22" s="5"/>
    </row>
    <row r="23" spans="2:3">
      <c r="B23" s="2" t="s">
        <v>18</v>
      </c>
      <c r="C23" s="7"/>
    </row>
    <row r="24" spans="2:3">
      <c r="B24" s="2" t="s">
        <v>19</v>
      </c>
      <c r="C24" s="7"/>
    </row>
    <row r="25" spans="2:3">
      <c r="B25" s="2" t="s">
        <v>20</v>
      </c>
      <c r="C25" s="5"/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8"/>
  <sheetViews>
    <sheetView showGridLines="0" view="pageBreakPreview" topLeftCell="A19" zoomScale="130" zoomScaleSheetLayoutView="130" workbookViewId="0">
      <selection activeCell="O28" sqref="O28"/>
    </sheetView>
  </sheetViews>
  <sheetFormatPr defaultColWidth="8.85546875" defaultRowHeight="14.25"/>
  <cols>
    <col min="1" max="1" width="3.85546875" style="13" customWidth="1"/>
    <col min="2" max="2" width="35.28515625" style="13" bestFit="1" customWidth="1"/>
    <col min="3" max="3" width="10.140625" style="13" customWidth="1"/>
    <col min="4" max="4" width="13.28515625" style="13" bestFit="1" customWidth="1"/>
    <col min="5" max="5" width="10" style="13" bestFit="1" customWidth="1"/>
    <col min="6" max="6" width="3.5703125" style="13" customWidth="1"/>
    <col min="7" max="7" width="8.85546875" style="13"/>
    <col min="8" max="8" width="11.7109375" style="13" bestFit="1" customWidth="1"/>
    <col min="9" max="9" width="11.7109375" style="13" customWidth="1"/>
    <col min="10" max="10" width="14.140625" style="13" bestFit="1" customWidth="1"/>
    <col min="11" max="12" width="11.7109375" style="13" customWidth="1"/>
    <col min="13" max="16384" width="8.85546875" style="13"/>
  </cols>
  <sheetData>
    <row r="2" spans="2:8" ht="15">
      <c r="B2" s="12" t="s">
        <v>0</v>
      </c>
      <c r="C2" s="90" t="str">
        <f>'Raw Coal analysis'!C1</f>
        <v>PR9_B19_3AL</v>
      </c>
      <c r="D2" s="90"/>
      <c r="E2" s="91"/>
    </row>
    <row r="3" spans="2:8" ht="15">
      <c r="B3" s="12" t="s">
        <v>1</v>
      </c>
      <c r="C3" s="92" t="s">
        <v>21</v>
      </c>
      <c r="D3" s="92"/>
      <c r="E3" s="93"/>
    </row>
    <row r="4" spans="2:8" ht="15">
      <c r="B4" s="12" t="s">
        <v>2</v>
      </c>
      <c r="C4" s="136" t="str">
        <f>'Raw Coal analysis'!C3</f>
        <v>2019.10.10</v>
      </c>
      <c r="D4" s="136"/>
      <c r="E4" s="93"/>
    </row>
    <row r="5" spans="2:8" ht="15">
      <c r="B5" s="12" t="s">
        <v>3</v>
      </c>
      <c r="C5" s="136" t="str">
        <f>'Raw Coal analysis'!C4</f>
        <v>Process team</v>
      </c>
      <c r="D5" s="136"/>
      <c r="E5" s="93"/>
    </row>
    <row r="6" spans="2:8" ht="15">
      <c r="B6" s="12" t="s">
        <v>4</v>
      </c>
      <c r="C6" s="136" t="str">
        <f>'Raw Coal analysis'!C5</f>
        <v>2019.10.04</v>
      </c>
      <c r="D6" s="136"/>
      <c r="E6" s="93"/>
    </row>
    <row r="7" spans="2:8">
      <c r="G7" s="79"/>
      <c r="H7" s="79"/>
    </row>
    <row r="8" spans="2:8" ht="28.5">
      <c r="B8" s="14" t="s">
        <v>22</v>
      </c>
      <c r="C8" s="15" t="s">
        <v>23</v>
      </c>
      <c r="D8" s="16" t="s">
        <v>24</v>
      </c>
      <c r="E8" s="16" t="s">
        <v>25</v>
      </c>
      <c r="G8" s="79"/>
      <c r="H8" s="79"/>
    </row>
    <row r="9" spans="2:8">
      <c r="B9" s="17" t="s">
        <v>26</v>
      </c>
      <c r="C9" s="18"/>
      <c r="D9" s="109">
        <v>276.2</v>
      </c>
      <c r="E9" s="19" t="s">
        <v>9</v>
      </c>
      <c r="G9" s="79"/>
      <c r="H9" s="79"/>
    </row>
    <row r="10" spans="2:8">
      <c r="B10" s="20"/>
      <c r="C10" s="21" t="s">
        <v>27</v>
      </c>
      <c r="D10" s="110">
        <v>35.6</v>
      </c>
      <c r="E10" s="113">
        <f>D10/$D$14</f>
        <v>0.13666026871401152</v>
      </c>
    </row>
    <row r="11" spans="2:8">
      <c r="B11" s="20" t="s">
        <v>28</v>
      </c>
      <c r="C11" s="21"/>
      <c r="D11" s="110">
        <v>224.9</v>
      </c>
      <c r="E11" s="113">
        <f>D11/$D$14</f>
        <v>0.86333973128598851</v>
      </c>
    </row>
    <row r="12" spans="2:8">
      <c r="B12" s="22" t="s">
        <v>29</v>
      </c>
      <c r="C12" s="23"/>
      <c r="D12" s="108">
        <f>D9-(D10+D11)</f>
        <v>15.699999999999989</v>
      </c>
      <c r="E12" s="114">
        <f>D12/D9</f>
        <v>5.6842867487327982E-2</v>
      </c>
    </row>
    <row r="13" spans="2:8" ht="7.15" customHeight="1">
      <c r="B13" s="24"/>
      <c r="C13" s="25"/>
      <c r="D13" s="25"/>
      <c r="E13" s="115"/>
    </row>
    <row r="14" spans="2:8">
      <c r="B14" s="26" t="s">
        <v>30</v>
      </c>
      <c r="C14" s="27"/>
      <c r="D14" s="107">
        <f>D10+D11</f>
        <v>260.5</v>
      </c>
      <c r="E14" s="116">
        <f>D14/D9</f>
        <v>0.94315713251267197</v>
      </c>
    </row>
    <row r="15" spans="2:8">
      <c r="B15" s="23" t="s">
        <v>31</v>
      </c>
      <c r="C15" s="28"/>
      <c r="D15" s="108">
        <f>D10+D11+D12</f>
        <v>276.2</v>
      </c>
      <c r="E15" s="117">
        <f>D15/D9</f>
        <v>1</v>
      </c>
    </row>
    <row r="16" spans="2:8" ht="6" customHeight="1"/>
    <row r="17" spans="1:12" ht="28.5">
      <c r="B17" s="14" t="s">
        <v>32</v>
      </c>
      <c r="C17" s="15" t="s">
        <v>23</v>
      </c>
      <c r="D17" s="16" t="s">
        <v>24</v>
      </c>
      <c r="E17" s="16" t="s">
        <v>25</v>
      </c>
      <c r="G17" s="16" t="s">
        <v>8</v>
      </c>
      <c r="H17" s="16" t="s">
        <v>10</v>
      </c>
    </row>
    <row r="18" spans="1:12">
      <c r="A18" s="112"/>
      <c r="B18" s="111" t="s">
        <v>26</v>
      </c>
      <c r="C18" s="29"/>
      <c r="D18" s="105">
        <v>100</v>
      </c>
      <c r="E18" s="19" t="s">
        <v>9</v>
      </c>
      <c r="G18" s="30" t="s">
        <v>9</v>
      </c>
      <c r="H18" s="30" t="s">
        <v>9</v>
      </c>
      <c r="L18" s="53"/>
    </row>
    <row r="19" spans="1:12">
      <c r="A19" s="112"/>
      <c r="B19" s="111" t="s">
        <v>28</v>
      </c>
      <c r="C19" s="111" t="s">
        <v>33</v>
      </c>
      <c r="D19" s="80">
        <v>14.2</v>
      </c>
      <c r="E19" s="118">
        <f>D19/$D$28</f>
        <v>0.1430010070493454</v>
      </c>
      <c r="G19" s="123">
        <v>0.65</v>
      </c>
      <c r="H19" s="124">
        <v>17.149999999999999</v>
      </c>
      <c r="L19" s="53"/>
    </row>
    <row r="20" spans="1:12">
      <c r="A20" s="112"/>
      <c r="B20" s="111" t="s">
        <v>34</v>
      </c>
      <c r="C20" s="111" t="s">
        <v>35</v>
      </c>
      <c r="D20" s="80">
        <v>21.8</v>
      </c>
      <c r="E20" s="118">
        <f t="shared" ref="E20:E25" si="0">D20/$D$28</f>
        <v>0.21953675730110778</v>
      </c>
      <c r="G20" s="123">
        <v>0.56999999999999995</v>
      </c>
      <c r="H20" s="124">
        <v>15.27</v>
      </c>
      <c r="L20" s="53"/>
    </row>
    <row r="21" spans="1:12">
      <c r="A21" s="112"/>
      <c r="B21" s="111" t="s">
        <v>36</v>
      </c>
      <c r="C21" s="111" t="s">
        <v>37</v>
      </c>
      <c r="D21" s="80">
        <v>17.8</v>
      </c>
      <c r="E21" s="118">
        <f t="shared" si="0"/>
        <v>0.17925478348439075</v>
      </c>
      <c r="G21" s="123">
        <v>0.53</v>
      </c>
      <c r="H21" s="124">
        <v>16.760000000000002</v>
      </c>
      <c r="L21" s="53"/>
    </row>
    <row r="22" spans="1:12">
      <c r="A22" s="112"/>
      <c r="B22" s="111" t="s">
        <v>38</v>
      </c>
      <c r="C22" s="111" t="s">
        <v>39</v>
      </c>
      <c r="D22" s="80">
        <v>11.8</v>
      </c>
      <c r="E22" s="118">
        <f t="shared" si="0"/>
        <v>0.11883182275931521</v>
      </c>
      <c r="G22" s="123">
        <v>0.66</v>
      </c>
      <c r="H22" s="124">
        <v>14.99</v>
      </c>
      <c r="L22" s="53"/>
    </row>
    <row r="23" spans="1:12">
      <c r="A23" s="112"/>
      <c r="B23" s="111" t="s">
        <v>40</v>
      </c>
      <c r="C23" s="111" t="s">
        <v>41</v>
      </c>
      <c r="D23" s="80">
        <v>11.2</v>
      </c>
      <c r="E23" s="118">
        <f t="shared" si="0"/>
        <v>0.11278952668680765</v>
      </c>
      <c r="G23" s="123">
        <v>0.68</v>
      </c>
      <c r="H23" s="124">
        <v>13.1</v>
      </c>
      <c r="L23" s="53"/>
    </row>
    <row r="24" spans="1:12">
      <c r="A24" s="112"/>
      <c r="B24" s="111" t="s">
        <v>42</v>
      </c>
      <c r="C24" s="111" t="s">
        <v>43</v>
      </c>
      <c r="D24" s="80">
        <v>7.8</v>
      </c>
      <c r="E24" s="118">
        <f t="shared" si="0"/>
        <v>7.8549848942598186E-2</v>
      </c>
      <c r="G24" s="123">
        <v>0.61</v>
      </c>
      <c r="H24" s="124">
        <v>11.94</v>
      </c>
      <c r="L24" s="53"/>
    </row>
    <row r="25" spans="1:12">
      <c r="B25" s="32" t="s">
        <v>44</v>
      </c>
      <c r="C25" s="33" t="s">
        <v>45</v>
      </c>
      <c r="D25" s="80">
        <v>14.7</v>
      </c>
      <c r="E25" s="118">
        <f t="shared" si="0"/>
        <v>0.14803625377643503</v>
      </c>
      <c r="G25" s="125">
        <v>0.62</v>
      </c>
      <c r="H25" s="126">
        <v>12.85</v>
      </c>
      <c r="L25" s="53"/>
    </row>
    <row r="26" spans="1:12">
      <c r="B26" s="23" t="s">
        <v>29</v>
      </c>
      <c r="C26" s="34"/>
      <c r="D26" s="95">
        <f>D18-SUM(D19:D25)</f>
        <v>0.70000000000000284</v>
      </c>
      <c r="E26" s="119">
        <f>D26/D18</f>
        <v>7.0000000000000288E-3</v>
      </c>
    </row>
    <row r="27" spans="1:12" ht="7.9" customHeight="1">
      <c r="B27" s="24"/>
      <c r="C27" s="25"/>
      <c r="D27" s="25"/>
      <c r="E27" s="120"/>
    </row>
    <row r="28" spans="1:12">
      <c r="B28" s="26" t="s">
        <v>30</v>
      </c>
      <c r="C28" s="27"/>
      <c r="D28" s="96">
        <f>SUM(D19:D25)</f>
        <v>99.3</v>
      </c>
      <c r="E28" s="121">
        <f>D28/D18</f>
        <v>0.99299999999999999</v>
      </c>
    </row>
    <row r="29" spans="1:12">
      <c r="B29" s="23" t="s">
        <v>31</v>
      </c>
      <c r="C29" s="28"/>
      <c r="D29" s="97">
        <f>SUM(D19:D25)+D26</f>
        <v>100</v>
      </c>
      <c r="E29" s="122">
        <f>D29/D18</f>
        <v>1</v>
      </c>
    </row>
    <row r="31" spans="1:12" ht="28.5">
      <c r="B31" s="14" t="s">
        <v>46</v>
      </c>
      <c r="C31" s="15" t="s">
        <v>23</v>
      </c>
      <c r="D31" s="16" t="s">
        <v>24</v>
      </c>
      <c r="E31" s="16" t="s">
        <v>25</v>
      </c>
      <c r="F31" s="4"/>
      <c r="G31" s="16" t="s">
        <v>8</v>
      </c>
      <c r="H31" s="16" t="s">
        <v>10</v>
      </c>
      <c r="I31" s="16" t="s">
        <v>93</v>
      </c>
      <c r="J31" s="16" t="s">
        <v>14</v>
      </c>
      <c r="K31" s="16" t="s">
        <v>63</v>
      </c>
    </row>
    <row r="32" spans="1:12">
      <c r="B32" s="18" t="s">
        <v>26</v>
      </c>
      <c r="C32" s="29"/>
      <c r="D32" s="105">
        <v>50</v>
      </c>
      <c r="E32" s="19" t="s">
        <v>9</v>
      </c>
      <c r="G32" s="35" t="s">
        <v>9</v>
      </c>
      <c r="H32" s="30" t="s">
        <v>9</v>
      </c>
      <c r="I32" s="30" t="s">
        <v>9</v>
      </c>
      <c r="J32" s="30" t="s">
        <v>9</v>
      </c>
      <c r="K32" s="30" t="s">
        <v>9</v>
      </c>
      <c r="L32" s="53"/>
    </row>
    <row r="33" spans="2:13">
      <c r="B33" s="21" t="s">
        <v>28</v>
      </c>
      <c r="C33" s="31" t="s">
        <v>33</v>
      </c>
      <c r="D33" s="80">
        <v>6.6</v>
      </c>
      <c r="E33" s="118">
        <f>D33/$D$47</f>
        <v>0.13319878910191724</v>
      </c>
      <c r="G33" s="123">
        <v>0.56999999999999995</v>
      </c>
      <c r="H33" s="156">
        <v>24.14</v>
      </c>
      <c r="I33" s="123">
        <v>19.649999999999999</v>
      </c>
      <c r="J33" s="123">
        <v>4.24</v>
      </c>
      <c r="K33" s="127">
        <v>3.5</v>
      </c>
      <c r="L33" s="154">
        <v>0.13319878910191724</v>
      </c>
      <c r="M33" s="13">
        <f>L33*100</f>
        <v>13.319878910191724</v>
      </c>
    </row>
    <row r="34" spans="2:13">
      <c r="B34" s="21" t="s">
        <v>34</v>
      </c>
      <c r="C34" s="33" t="s">
        <v>35</v>
      </c>
      <c r="D34" s="80">
        <v>10.5</v>
      </c>
      <c r="E34" s="118">
        <f t="shared" ref="E34:E44" si="1">D34/$D$47</f>
        <v>0.2119071644803229</v>
      </c>
      <c r="G34" s="123">
        <v>0.57999999999999996</v>
      </c>
      <c r="H34" s="156">
        <v>16.86</v>
      </c>
      <c r="I34" s="123">
        <v>18.93</v>
      </c>
      <c r="J34" s="123">
        <v>1.56</v>
      </c>
      <c r="K34" s="127">
        <v>4.5</v>
      </c>
      <c r="L34" s="154">
        <v>0.2119071644803229</v>
      </c>
      <c r="M34" s="13">
        <f t="shared" ref="M34:M44" si="2">L34*100</f>
        <v>21.19071644803229</v>
      </c>
    </row>
    <row r="35" spans="2:13">
      <c r="B35" s="21" t="s">
        <v>36</v>
      </c>
      <c r="C35" s="33" t="s">
        <v>37</v>
      </c>
      <c r="D35" s="80">
        <v>8.6999999999999993</v>
      </c>
      <c r="E35" s="118">
        <f t="shared" si="1"/>
        <v>0.17558022199798182</v>
      </c>
      <c r="G35" s="123">
        <v>0.57999999999999996</v>
      </c>
      <c r="H35" s="156">
        <v>19.02</v>
      </c>
      <c r="I35" s="123">
        <v>18.649999999999999</v>
      </c>
      <c r="J35" s="123">
        <v>1.02</v>
      </c>
      <c r="K35" s="127">
        <v>4.5</v>
      </c>
      <c r="L35" s="154">
        <v>0.17558022199798182</v>
      </c>
      <c r="M35" s="13">
        <f t="shared" si="2"/>
        <v>17.558022199798181</v>
      </c>
    </row>
    <row r="36" spans="2:13">
      <c r="B36" s="21" t="s">
        <v>38</v>
      </c>
      <c r="C36" s="33" t="s">
        <v>39</v>
      </c>
      <c r="D36" s="80">
        <v>4.8</v>
      </c>
      <c r="E36" s="118">
        <f t="shared" si="1"/>
        <v>9.687184661957618E-2</v>
      </c>
      <c r="G36" s="123">
        <v>0.59</v>
      </c>
      <c r="H36" s="156">
        <v>16.27</v>
      </c>
      <c r="I36" s="123">
        <v>19.37</v>
      </c>
      <c r="J36" s="123">
        <v>0.79</v>
      </c>
      <c r="K36" s="127">
        <v>5</v>
      </c>
      <c r="L36" s="154">
        <v>9.687184661957618E-2</v>
      </c>
      <c r="M36" s="13">
        <f t="shared" si="2"/>
        <v>9.6871846619576178</v>
      </c>
    </row>
    <row r="37" spans="2:13">
      <c r="B37" s="21" t="s">
        <v>40</v>
      </c>
      <c r="C37" s="33" t="s">
        <v>41</v>
      </c>
      <c r="D37" s="80">
        <v>5.5</v>
      </c>
      <c r="E37" s="118">
        <f t="shared" si="1"/>
        <v>0.11099899091826437</v>
      </c>
      <c r="G37" s="123">
        <v>0.61</v>
      </c>
      <c r="H37" s="157">
        <v>14.91</v>
      </c>
      <c r="I37" s="123">
        <v>19.82</v>
      </c>
      <c r="J37" s="123">
        <v>0.9</v>
      </c>
      <c r="K37" s="127">
        <v>7</v>
      </c>
      <c r="L37" s="154">
        <v>0.11099899091826437</v>
      </c>
      <c r="M37" s="13">
        <f t="shared" si="2"/>
        <v>11.099899091826437</v>
      </c>
    </row>
    <row r="38" spans="2:13">
      <c r="B38" s="21" t="s">
        <v>42</v>
      </c>
      <c r="C38" s="33" t="s">
        <v>43</v>
      </c>
      <c r="D38" s="80">
        <v>4.2</v>
      </c>
      <c r="E38" s="118">
        <f t="shared" si="1"/>
        <v>8.4762865792129161E-2</v>
      </c>
      <c r="G38" s="123">
        <v>0.69</v>
      </c>
      <c r="H38" s="157">
        <v>12.65</v>
      </c>
      <c r="I38" s="123">
        <v>20.59</v>
      </c>
      <c r="J38" s="123">
        <v>0.74</v>
      </c>
      <c r="K38" s="127">
        <v>8</v>
      </c>
      <c r="L38" s="154">
        <v>8.4762865792129161E-2</v>
      </c>
      <c r="M38" s="13">
        <f t="shared" si="2"/>
        <v>8.4762865792129158</v>
      </c>
    </row>
    <row r="39" spans="2:13">
      <c r="B39" s="21" t="s">
        <v>44</v>
      </c>
      <c r="C39" s="33" t="s">
        <v>47</v>
      </c>
      <c r="D39" s="80">
        <v>3.3</v>
      </c>
      <c r="E39" s="118">
        <f t="shared" si="1"/>
        <v>6.6599394550958618E-2</v>
      </c>
      <c r="G39" s="123">
        <v>0.63</v>
      </c>
      <c r="H39" s="156">
        <v>12.03</v>
      </c>
      <c r="I39" s="123">
        <v>21.3</v>
      </c>
      <c r="J39" s="123">
        <v>0.69</v>
      </c>
      <c r="K39" s="127">
        <v>8</v>
      </c>
      <c r="L39" s="154">
        <v>6.6599394550958618E-2</v>
      </c>
      <c r="M39" s="13">
        <f t="shared" si="2"/>
        <v>6.6599394550958619</v>
      </c>
    </row>
    <row r="40" spans="2:13">
      <c r="B40" s="21" t="s">
        <v>48</v>
      </c>
      <c r="C40" s="33" t="s">
        <v>49</v>
      </c>
      <c r="D40" s="80">
        <v>3.2</v>
      </c>
      <c r="E40" s="118">
        <f t="shared" si="1"/>
        <v>6.4581231079717458E-2</v>
      </c>
      <c r="G40" s="128">
        <v>0.65</v>
      </c>
      <c r="H40" s="156">
        <v>12.77</v>
      </c>
      <c r="I40" s="123">
        <v>21.29</v>
      </c>
      <c r="J40" s="123">
        <v>1.06</v>
      </c>
      <c r="K40" s="129">
        <v>8.5</v>
      </c>
      <c r="L40" s="155">
        <v>6.4581231079717458E-2</v>
      </c>
      <c r="M40" s="13">
        <f t="shared" si="2"/>
        <v>6.4581231079717458</v>
      </c>
    </row>
    <row r="41" spans="2:13">
      <c r="B41" s="21" t="s">
        <v>50</v>
      </c>
      <c r="C41" s="33" t="s">
        <v>51</v>
      </c>
      <c r="D41" s="80">
        <v>1.01</v>
      </c>
      <c r="E41" s="118">
        <f t="shared" si="1"/>
        <v>2.0383451059535821E-2</v>
      </c>
      <c r="G41" s="128">
        <v>0.7</v>
      </c>
      <c r="H41" s="156">
        <v>12.58</v>
      </c>
      <c r="I41" s="123">
        <v>21.43</v>
      </c>
      <c r="J41" s="123">
        <v>0.92</v>
      </c>
      <c r="K41" s="129">
        <v>8.5</v>
      </c>
      <c r="L41" s="155">
        <v>2.0383451059535821E-2</v>
      </c>
      <c r="M41" s="13">
        <f t="shared" si="2"/>
        <v>2.038345105953582</v>
      </c>
    </row>
    <row r="42" spans="2:13">
      <c r="B42" s="21" t="s">
        <v>52</v>
      </c>
      <c r="C42" s="33" t="s">
        <v>53</v>
      </c>
      <c r="D42" s="80">
        <v>1.07</v>
      </c>
      <c r="E42" s="118">
        <f t="shared" si="1"/>
        <v>2.1594349142280523E-2</v>
      </c>
      <c r="G42" s="128">
        <v>0.63</v>
      </c>
      <c r="H42" s="156">
        <v>13.58</v>
      </c>
      <c r="I42" s="123">
        <v>21.13</v>
      </c>
      <c r="J42" s="123">
        <v>0.95</v>
      </c>
      <c r="K42" s="129">
        <v>8.5</v>
      </c>
      <c r="L42" s="155">
        <v>2.1594349142280523E-2</v>
      </c>
      <c r="M42" s="13">
        <f t="shared" si="2"/>
        <v>2.1594349142280524</v>
      </c>
    </row>
    <row r="43" spans="2:13">
      <c r="B43" s="21" t="s">
        <v>54</v>
      </c>
      <c r="C43" s="33" t="s">
        <v>55</v>
      </c>
      <c r="D43" s="80">
        <v>0.15</v>
      </c>
      <c r="E43" s="118">
        <f t="shared" si="1"/>
        <v>3.0272452068617556E-3</v>
      </c>
      <c r="G43" s="128">
        <v>0.49</v>
      </c>
      <c r="H43" s="156">
        <v>15.4</v>
      </c>
      <c r="I43" s="123">
        <v>20.93</v>
      </c>
      <c r="J43" s="123">
        <v>1.54</v>
      </c>
      <c r="K43" s="129">
        <v>8.5</v>
      </c>
      <c r="L43" s="155">
        <v>3.0272452068617556E-3</v>
      </c>
      <c r="M43" s="13">
        <f t="shared" si="2"/>
        <v>0.30272452068617556</v>
      </c>
    </row>
    <row r="44" spans="2:13">
      <c r="B44" s="32" t="s">
        <v>56</v>
      </c>
      <c r="C44" s="33"/>
      <c r="D44" s="80">
        <v>0.52</v>
      </c>
      <c r="E44" s="118">
        <f t="shared" si="1"/>
        <v>1.0494450050454086E-2</v>
      </c>
      <c r="G44" s="130">
        <v>0.73</v>
      </c>
      <c r="H44" s="158">
        <v>14.09</v>
      </c>
      <c r="I44" s="125">
        <v>19.690000000000001</v>
      </c>
      <c r="J44" s="126">
        <v>0.94</v>
      </c>
      <c r="K44" s="131">
        <v>5.5</v>
      </c>
      <c r="L44" s="155">
        <v>1.0494450050454086E-2</v>
      </c>
      <c r="M44" s="13">
        <f t="shared" si="2"/>
        <v>1.0494450050454085</v>
      </c>
    </row>
    <row r="45" spans="2:13">
      <c r="B45" s="23" t="s">
        <v>29</v>
      </c>
      <c r="C45" s="34"/>
      <c r="D45" s="95">
        <f>D32-SUM(D33:D44)</f>
        <v>0.44999999999999574</v>
      </c>
      <c r="E45" s="119">
        <f>D45/D32</f>
        <v>8.9999999999999143E-3</v>
      </c>
    </row>
    <row r="46" spans="2:13">
      <c r="B46" s="24"/>
      <c r="C46" s="25"/>
      <c r="D46" s="25"/>
      <c r="E46" s="120"/>
    </row>
    <row r="47" spans="2:13">
      <c r="B47" s="26" t="s">
        <v>30</v>
      </c>
      <c r="C47" s="27"/>
      <c r="D47" s="96">
        <f>SUM(D33:D44)</f>
        <v>49.550000000000004</v>
      </c>
      <c r="E47" s="121">
        <f>D47/D32</f>
        <v>0.9910000000000001</v>
      </c>
    </row>
    <row r="48" spans="2:13">
      <c r="B48" s="23" t="s">
        <v>31</v>
      </c>
      <c r="C48" s="28"/>
      <c r="D48" s="97">
        <f>SUM(D33:D44)+D45</f>
        <v>50</v>
      </c>
      <c r="E48" s="122">
        <f>D48/D32</f>
        <v>1</v>
      </c>
    </row>
  </sheetData>
  <mergeCells count="3">
    <mergeCell ref="C4:D4"/>
    <mergeCell ref="C5:D5"/>
    <mergeCell ref="C6:D6"/>
  </mergeCells>
  <pageMargins left="0.7" right="0.7" top="0.75" bottom="0.75" header="0.3" footer="0.3"/>
  <pageSetup paperSize="9" scale="6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9"/>
  <sheetViews>
    <sheetView showGridLines="0" topLeftCell="B1" zoomScaleSheetLayoutView="110" workbookViewId="0">
      <pane xSplit="5" ySplit="9" topLeftCell="G67" activePane="bottomRight" state="frozen"/>
      <selection activeCell="B1" sqref="B1"/>
      <selection pane="topRight" activeCell="G1" sqref="G1"/>
      <selection pane="bottomLeft" activeCell="B10" sqref="B10"/>
      <selection pane="bottomRight" activeCell="M75" sqref="M75:M88"/>
    </sheetView>
  </sheetViews>
  <sheetFormatPr defaultRowHeight="15"/>
  <cols>
    <col min="1" max="1" width="6" style="55" customWidth="1"/>
    <col min="2" max="3" width="9.140625" style="55"/>
    <col min="4" max="4" width="9.85546875" style="55" customWidth="1"/>
    <col min="5" max="6" width="9.140625" style="55"/>
    <col min="7" max="7" width="10.42578125" style="55" bestFit="1" customWidth="1"/>
    <col min="8" max="11" width="9.140625" style="55"/>
    <col min="12" max="12" width="13.7109375" style="55" customWidth="1"/>
    <col min="13" max="16384" width="9.140625" style="55"/>
  </cols>
  <sheetData>
    <row r="1" spans="2:13">
      <c r="B1" s="54" t="s">
        <v>0</v>
      </c>
      <c r="C1" s="54"/>
      <c r="E1" s="137" t="str">
        <f>'Raw Coal analysis'!C1</f>
        <v>PR9_B19_3AL</v>
      </c>
      <c r="F1" s="137"/>
      <c r="G1" s="137"/>
    </row>
    <row r="2" spans="2:13">
      <c r="B2" s="54" t="s">
        <v>1</v>
      </c>
      <c r="C2" s="54"/>
      <c r="E2" s="137" t="s">
        <v>92</v>
      </c>
      <c r="F2" s="137"/>
      <c r="G2" s="137"/>
    </row>
    <row r="3" spans="2:13">
      <c r="B3" s="54" t="s">
        <v>2</v>
      </c>
      <c r="C3" s="54"/>
      <c r="E3" s="137" t="str">
        <f>'Raw Coal analysis'!C3</f>
        <v>2019.10.10</v>
      </c>
      <c r="F3" s="137"/>
      <c r="G3" s="137"/>
    </row>
    <row r="4" spans="2:13">
      <c r="B4" s="54" t="s">
        <v>3</v>
      </c>
      <c r="C4" s="54"/>
      <c r="E4" s="137" t="str">
        <f>'Raw Coal analysis'!C4</f>
        <v>Process team</v>
      </c>
      <c r="F4" s="137"/>
      <c r="G4" s="137"/>
    </row>
    <row r="5" spans="2:13">
      <c r="B5" s="54" t="s">
        <v>4</v>
      </c>
      <c r="C5" s="54"/>
      <c r="E5" s="137" t="str">
        <f>'Raw Coal analysis'!C5</f>
        <v>2019.10.04</v>
      </c>
      <c r="F5" s="137"/>
      <c r="G5" s="137"/>
    </row>
    <row r="6" spans="2:13">
      <c r="B6" s="54"/>
      <c r="C6" s="54"/>
    </row>
    <row r="7" spans="2:13">
      <c r="B7" s="56"/>
      <c r="C7" s="57"/>
      <c r="D7" s="58"/>
      <c r="E7" s="59"/>
      <c r="F7" s="60"/>
      <c r="G7" s="139" t="s">
        <v>57</v>
      </c>
      <c r="H7" s="139"/>
      <c r="I7" s="139"/>
      <c r="J7" s="139"/>
      <c r="K7" s="139"/>
      <c r="L7" s="139"/>
      <c r="M7" s="140"/>
    </row>
    <row r="8" spans="2:13" ht="30">
      <c r="B8" s="141" t="s">
        <v>58</v>
      </c>
      <c r="C8" s="142"/>
      <c r="D8" s="61" t="s">
        <v>59</v>
      </c>
      <c r="E8" s="143" t="s">
        <v>60</v>
      </c>
      <c r="F8" s="144"/>
      <c r="G8" s="145" t="s">
        <v>61</v>
      </c>
      <c r="H8" s="146"/>
      <c r="I8" s="36" t="s">
        <v>10</v>
      </c>
      <c r="J8" s="36" t="s">
        <v>62</v>
      </c>
      <c r="K8" s="36" t="s">
        <v>93</v>
      </c>
      <c r="L8" s="36" t="s">
        <v>14</v>
      </c>
      <c r="M8" s="36" t="s">
        <v>63</v>
      </c>
    </row>
    <row r="9" spans="2:13">
      <c r="B9" s="62"/>
      <c r="C9" s="62"/>
      <c r="D9" s="62"/>
      <c r="E9" s="62" t="s">
        <v>64</v>
      </c>
      <c r="F9" s="62" t="s">
        <v>65</v>
      </c>
      <c r="G9" s="62" t="s">
        <v>66</v>
      </c>
      <c r="H9" s="62" t="s">
        <v>67</v>
      </c>
      <c r="I9" s="62" t="s">
        <v>67</v>
      </c>
      <c r="J9" s="62" t="s">
        <v>68</v>
      </c>
      <c r="K9" s="62" t="s">
        <v>69</v>
      </c>
      <c r="L9" s="62"/>
      <c r="M9" s="62"/>
    </row>
    <row r="10" spans="2:13">
      <c r="B10" s="63" t="s">
        <v>70</v>
      </c>
      <c r="C10" s="64" t="s">
        <v>71</v>
      </c>
      <c r="D10" s="65"/>
      <c r="E10" s="66"/>
      <c r="F10" s="66"/>
      <c r="G10" s="99">
        <v>5000</v>
      </c>
      <c r="H10" s="66"/>
      <c r="I10" s="66"/>
      <c r="J10" s="66"/>
      <c r="K10" s="66"/>
      <c r="L10" s="66"/>
      <c r="M10" s="66"/>
    </row>
    <row r="11" spans="2:13">
      <c r="B11" s="67"/>
      <c r="C11" s="68"/>
      <c r="D11" s="69"/>
      <c r="E11" s="70">
        <v>1.25</v>
      </c>
      <c r="F11" s="98">
        <v>1.3</v>
      </c>
      <c r="G11" s="94">
        <v>139.80000000000001</v>
      </c>
      <c r="H11" s="72">
        <f>G11/$G$25*100</f>
        <v>2.8423299786520282</v>
      </c>
      <c r="I11" s="86">
        <v>9.57</v>
      </c>
      <c r="J11" s="86">
        <v>0.49</v>
      </c>
      <c r="K11" s="86">
        <v>21.35</v>
      </c>
      <c r="L11" s="86">
        <v>0.44</v>
      </c>
      <c r="M11" s="102">
        <v>8.5</v>
      </c>
    </row>
    <row r="12" spans="2:13">
      <c r="B12" s="67"/>
      <c r="C12" s="68"/>
      <c r="D12" s="69"/>
      <c r="E12" s="73">
        <f>F11</f>
        <v>1.3</v>
      </c>
      <c r="F12" s="71">
        <v>1.325</v>
      </c>
      <c r="G12" s="94">
        <v>414.3</v>
      </c>
      <c r="H12" s="72">
        <f>G12/$G$25*100</f>
        <v>8.4232997865202801</v>
      </c>
      <c r="I12" s="86">
        <v>11.63</v>
      </c>
      <c r="J12" s="86">
        <v>0.49</v>
      </c>
      <c r="K12" s="86">
        <v>21.22</v>
      </c>
      <c r="L12" s="86">
        <v>0.43</v>
      </c>
      <c r="M12" s="102">
        <v>8</v>
      </c>
    </row>
    <row r="13" spans="2:13">
      <c r="B13" s="67"/>
      <c r="C13" s="68"/>
      <c r="D13" s="69"/>
      <c r="E13" s="73">
        <f t="shared" ref="E13:E24" si="0">F12</f>
        <v>1.325</v>
      </c>
      <c r="F13" s="71">
        <v>1.35</v>
      </c>
      <c r="G13" s="94">
        <v>1258.8</v>
      </c>
      <c r="H13" s="72">
        <f t="shared" ref="H13:H24" si="1">G13/$G$25*100</f>
        <v>25.593168648978349</v>
      </c>
      <c r="I13" s="86">
        <v>11.99</v>
      </c>
      <c r="J13" s="86">
        <v>0.49</v>
      </c>
      <c r="K13" s="86">
        <v>20.260000000000002</v>
      </c>
      <c r="L13" s="86">
        <v>0.43</v>
      </c>
      <c r="M13" s="102">
        <v>7</v>
      </c>
    </row>
    <row r="14" spans="2:13">
      <c r="B14" s="67"/>
      <c r="C14" s="68"/>
      <c r="D14" s="69"/>
      <c r="E14" s="73">
        <f t="shared" si="0"/>
        <v>1.35</v>
      </c>
      <c r="F14" s="71">
        <v>1.375</v>
      </c>
      <c r="G14" s="94">
        <v>1157.4000000000001</v>
      </c>
      <c r="H14" s="72">
        <f t="shared" si="1"/>
        <v>23.531564501372372</v>
      </c>
      <c r="I14" s="86">
        <v>15.13</v>
      </c>
      <c r="J14" s="86">
        <v>0.5</v>
      </c>
      <c r="K14" s="86">
        <v>18.7</v>
      </c>
      <c r="L14" s="86">
        <v>0.5</v>
      </c>
      <c r="M14" s="102">
        <v>4</v>
      </c>
    </row>
    <row r="15" spans="2:13">
      <c r="B15" s="67"/>
      <c r="C15" s="68"/>
      <c r="D15" s="69"/>
      <c r="E15" s="73">
        <f t="shared" si="0"/>
        <v>1.375</v>
      </c>
      <c r="F15" s="71">
        <v>1.4</v>
      </c>
      <c r="G15" s="94">
        <v>971.8</v>
      </c>
      <c r="H15" s="72">
        <f t="shared" si="1"/>
        <v>19.758056317983126</v>
      </c>
      <c r="I15" s="86">
        <v>16.75</v>
      </c>
      <c r="J15" s="86">
        <v>0.53</v>
      </c>
      <c r="K15" s="86">
        <v>18.03</v>
      </c>
      <c r="L15" s="86">
        <v>0.56000000000000005</v>
      </c>
      <c r="M15" s="102">
        <v>3.5</v>
      </c>
    </row>
    <row r="16" spans="2:13">
      <c r="B16" s="67"/>
      <c r="C16" s="68"/>
      <c r="D16" s="69"/>
      <c r="E16" s="73">
        <f t="shared" si="0"/>
        <v>1.4</v>
      </c>
      <c r="F16" s="71">
        <v>1.425</v>
      </c>
      <c r="G16" s="94">
        <v>300.8</v>
      </c>
      <c r="H16" s="72">
        <f t="shared" si="1"/>
        <v>6.1156856765273968</v>
      </c>
      <c r="I16" s="86">
        <v>20.059999999999999</v>
      </c>
      <c r="J16" s="86">
        <v>0.51</v>
      </c>
      <c r="K16" s="86">
        <v>17.66</v>
      </c>
      <c r="L16" s="86">
        <v>0.68</v>
      </c>
      <c r="M16" s="102">
        <v>2</v>
      </c>
    </row>
    <row r="17" spans="2:13">
      <c r="B17" s="67"/>
      <c r="C17" s="68"/>
      <c r="D17" s="69"/>
      <c r="E17" s="73">
        <f t="shared" si="0"/>
        <v>1.425</v>
      </c>
      <c r="F17" s="71">
        <v>1.45</v>
      </c>
      <c r="G17" s="94">
        <v>227.7</v>
      </c>
      <c r="H17" s="72">
        <f t="shared" si="1"/>
        <v>4.6294602012808781</v>
      </c>
      <c r="I17" s="86">
        <v>22.06</v>
      </c>
      <c r="J17" s="86">
        <v>0.46</v>
      </c>
      <c r="K17" s="86">
        <v>17.55</v>
      </c>
      <c r="L17" s="86">
        <v>0.52</v>
      </c>
      <c r="M17" s="102">
        <v>1</v>
      </c>
    </row>
    <row r="18" spans="2:13">
      <c r="B18" s="67"/>
      <c r="C18" s="68"/>
      <c r="D18" s="69"/>
      <c r="E18" s="73">
        <f t="shared" si="0"/>
        <v>1.45</v>
      </c>
      <c r="F18" s="71">
        <v>1.5</v>
      </c>
      <c r="G18" s="94">
        <v>277</v>
      </c>
      <c r="H18" s="72">
        <f t="shared" si="1"/>
        <v>5.6317983124936468</v>
      </c>
      <c r="I18" s="86">
        <v>22.03</v>
      </c>
      <c r="J18" s="86">
        <v>0.49</v>
      </c>
      <c r="K18" s="86">
        <v>17.52</v>
      </c>
      <c r="L18" s="86">
        <v>0.45</v>
      </c>
      <c r="M18" s="102">
        <v>1</v>
      </c>
    </row>
    <row r="19" spans="2:13">
      <c r="B19" s="67"/>
      <c r="C19" s="68"/>
      <c r="D19" s="69"/>
      <c r="E19" s="73">
        <f t="shared" si="0"/>
        <v>1.5</v>
      </c>
      <c r="F19" s="71">
        <v>1.6</v>
      </c>
      <c r="G19" s="94">
        <v>91.5</v>
      </c>
      <c r="H19" s="72">
        <f t="shared" si="1"/>
        <v>1.8603232692894174</v>
      </c>
      <c r="I19" s="86">
        <v>25.56</v>
      </c>
      <c r="J19" s="86">
        <v>0.64</v>
      </c>
      <c r="K19" s="86">
        <v>18.760000000000002</v>
      </c>
      <c r="L19" s="86">
        <v>3.42</v>
      </c>
      <c r="M19" s="102">
        <v>1</v>
      </c>
    </row>
    <row r="20" spans="2:13">
      <c r="B20" s="67"/>
      <c r="C20" s="68"/>
      <c r="D20" s="69"/>
      <c r="E20" s="73">
        <f t="shared" si="0"/>
        <v>1.6</v>
      </c>
      <c r="F20" s="71">
        <v>1.7</v>
      </c>
      <c r="G20" s="94">
        <v>14.4</v>
      </c>
      <c r="H20" s="72">
        <f t="shared" si="1"/>
        <v>0.29277218664226901</v>
      </c>
      <c r="I20" s="86">
        <v>37.549999999999997</v>
      </c>
      <c r="J20" s="86">
        <v>0.68</v>
      </c>
      <c r="K20" s="86" t="s">
        <v>9</v>
      </c>
      <c r="L20" s="86" t="s">
        <v>9</v>
      </c>
      <c r="M20" s="102">
        <v>0.5</v>
      </c>
    </row>
    <row r="21" spans="2:13">
      <c r="B21" s="67"/>
      <c r="C21" s="68"/>
      <c r="D21" s="69"/>
      <c r="E21" s="73">
        <f t="shared" si="0"/>
        <v>1.7</v>
      </c>
      <c r="F21" s="71">
        <v>1.8</v>
      </c>
      <c r="G21" s="94" t="s">
        <v>9</v>
      </c>
      <c r="H21" s="72" t="s">
        <v>9</v>
      </c>
      <c r="I21" s="86"/>
      <c r="J21" s="86"/>
      <c r="K21" s="86"/>
      <c r="L21" s="86"/>
      <c r="M21" s="102"/>
    </row>
    <row r="22" spans="2:13">
      <c r="B22" s="67"/>
      <c r="C22" s="68"/>
      <c r="D22" s="69"/>
      <c r="E22" s="73">
        <f t="shared" si="0"/>
        <v>1.8</v>
      </c>
      <c r="F22" s="71">
        <v>2</v>
      </c>
      <c r="G22" s="94" t="s">
        <v>9</v>
      </c>
      <c r="H22" s="72" t="s">
        <v>9</v>
      </c>
      <c r="I22" s="86"/>
      <c r="J22" s="86"/>
      <c r="K22" s="86"/>
      <c r="L22" s="86"/>
      <c r="M22" s="102"/>
    </row>
    <row r="23" spans="2:13">
      <c r="B23" s="67"/>
      <c r="C23" s="68"/>
      <c r="D23" s="69"/>
      <c r="E23" s="73">
        <f t="shared" si="0"/>
        <v>2</v>
      </c>
      <c r="F23" s="71">
        <v>2.2000000000000002</v>
      </c>
      <c r="G23" s="94">
        <v>15.7</v>
      </c>
      <c r="H23" s="72">
        <f t="shared" si="1"/>
        <v>0.31920300904747384</v>
      </c>
      <c r="I23" s="86">
        <v>39.950000000000003</v>
      </c>
      <c r="J23" s="86">
        <v>0.42</v>
      </c>
      <c r="K23" s="86">
        <v>28.43</v>
      </c>
      <c r="L23" s="86">
        <v>11.25</v>
      </c>
      <c r="M23" s="102">
        <v>1</v>
      </c>
    </row>
    <row r="24" spans="2:13">
      <c r="B24" s="67"/>
      <c r="C24" s="68"/>
      <c r="D24" s="69"/>
      <c r="E24" s="73">
        <f t="shared" si="0"/>
        <v>2.2000000000000002</v>
      </c>
      <c r="F24" s="71">
        <v>2.8</v>
      </c>
      <c r="G24" s="94">
        <v>49.3</v>
      </c>
      <c r="H24" s="72">
        <f t="shared" si="1"/>
        <v>1.0023381112127681</v>
      </c>
      <c r="I24" s="86">
        <v>44.4</v>
      </c>
      <c r="J24" s="86">
        <v>0.37</v>
      </c>
      <c r="K24" s="86">
        <v>31.13</v>
      </c>
      <c r="L24" s="86">
        <v>8.17</v>
      </c>
      <c r="M24" s="102">
        <v>1</v>
      </c>
    </row>
    <row r="25" spans="2:13">
      <c r="B25" s="138" t="s">
        <v>72</v>
      </c>
      <c r="C25" s="139"/>
      <c r="D25" s="139"/>
      <c r="E25" s="74"/>
      <c r="F25" s="75"/>
      <c r="G25" s="76">
        <f>SUM(G11:G24)</f>
        <v>4918.5</v>
      </c>
      <c r="H25" s="77">
        <f>SUM(H11:H24)</f>
        <v>100</v>
      </c>
      <c r="I25" s="78">
        <f>SUMPRODUCT($H$11:$H$24,I11:I24)/$H$25</f>
        <v>15.836806750025413</v>
      </c>
      <c r="J25" s="78">
        <f t="shared" ref="J25:L25" si="2">SUMPRODUCT($H$11:$H$24,J11:J24)/$H$25</f>
        <v>0.50201118227101771</v>
      </c>
      <c r="K25" s="78">
        <f t="shared" si="2"/>
        <v>19.173183084273663</v>
      </c>
      <c r="L25" s="78">
        <f t="shared" si="2"/>
        <v>0.65950737013317084</v>
      </c>
      <c r="M25" s="87">
        <f>SUMPRODUCT($H$11:$H$24,M11:M24)/$H$25</f>
        <v>4.5979871912168351</v>
      </c>
    </row>
    <row r="26" spans="2:13">
      <c r="B26" s="63" t="s">
        <v>73</v>
      </c>
      <c r="C26" s="64" t="s">
        <v>74</v>
      </c>
      <c r="D26" s="65"/>
      <c r="E26" s="66"/>
      <c r="F26" s="66"/>
      <c r="G26" s="99">
        <v>5000</v>
      </c>
      <c r="H26" s="66"/>
      <c r="I26" s="66"/>
      <c r="J26" s="66"/>
      <c r="K26" s="66"/>
      <c r="L26" s="66"/>
      <c r="M26" s="66"/>
    </row>
    <row r="27" spans="2:13">
      <c r="B27" s="67"/>
      <c r="C27" s="68"/>
      <c r="D27" s="69"/>
      <c r="E27" s="70">
        <v>1.25</v>
      </c>
      <c r="F27" s="71">
        <v>1.3</v>
      </c>
      <c r="G27" s="94">
        <v>327.10000000000002</v>
      </c>
      <c r="H27" s="72">
        <f>G27/$G$41*100</f>
        <v>6.8853011135201116</v>
      </c>
      <c r="I27" s="86">
        <v>8.2799999999999994</v>
      </c>
      <c r="J27" s="86">
        <v>0.59</v>
      </c>
      <c r="K27" s="86">
        <v>21.75</v>
      </c>
      <c r="L27" s="86">
        <v>0.4</v>
      </c>
      <c r="M27" s="102">
        <v>9</v>
      </c>
    </row>
    <row r="28" spans="2:13">
      <c r="B28" s="67"/>
      <c r="C28" s="68"/>
      <c r="D28" s="69"/>
      <c r="E28" s="73">
        <f>F27</f>
        <v>1.3</v>
      </c>
      <c r="F28" s="71">
        <v>1.325</v>
      </c>
      <c r="G28" s="94">
        <v>899.4</v>
      </c>
      <c r="H28" s="72">
        <f t="shared" ref="H28:H39" si="3">G28/$G$41*100</f>
        <v>18.931946870987428</v>
      </c>
      <c r="I28" s="86">
        <v>9.6300000000000008</v>
      </c>
      <c r="J28" s="86">
        <v>0.57999999999999996</v>
      </c>
      <c r="K28" s="86">
        <v>21.3</v>
      </c>
      <c r="L28" s="86">
        <v>0.47</v>
      </c>
      <c r="M28" s="102">
        <v>8</v>
      </c>
    </row>
    <row r="29" spans="2:13">
      <c r="B29" s="67"/>
      <c r="C29" s="68"/>
      <c r="D29" s="69"/>
      <c r="E29" s="73">
        <f t="shared" ref="E29:E40" si="4">F28</f>
        <v>1.325</v>
      </c>
      <c r="F29" s="71">
        <v>1.35</v>
      </c>
      <c r="G29" s="94">
        <v>847.3</v>
      </c>
      <c r="H29" s="72">
        <f t="shared" si="3"/>
        <v>17.835266381796362</v>
      </c>
      <c r="I29" s="86">
        <v>12.31</v>
      </c>
      <c r="J29" s="86">
        <v>0.56999999999999995</v>
      </c>
      <c r="K29" s="86">
        <v>19.809999999999999</v>
      </c>
      <c r="L29" s="86">
        <v>0.47</v>
      </c>
      <c r="M29" s="102">
        <v>7</v>
      </c>
    </row>
    <row r="30" spans="2:13">
      <c r="B30" s="67"/>
      <c r="C30" s="68"/>
      <c r="D30" s="69"/>
      <c r="E30" s="73">
        <f t="shared" si="4"/>
        <v>1.35</v>
      </c>
      <c r="F30" s="71">
        <v>1.375</v>
      </c>
      <c r="G30" s="94">
        <v>853.2</v>
      </c>
      <c r="H30" s="72">
        <f t="shared" si="3"/>
        <v>17.959458606100149</v>
      </c>
      <c r="I30" s="86">
        <v>14.86</v>
      </c>
      <c r="J30" s="86">
        <v>0.59</v>
      </c>
      <c r="K30" s="86">
        <v>18.690000000000001</v>
      </c>
      <c r="L30" s="86">
        <v>0.52</v>
      </c>
      <c r="M30" s="102">
        <v>4</v>
      </c>
    </row>
    <row r="31" spans="2:13">
      <c r="B31" s="67"/>
      <c r="C31" s="68"/>
      <c r="D31" s="69"/>
      <c r="E31" s="73">
        <f t="shared" si="4"/>
        <v>1.375</v>
      </c>
      <c r="F31" s="71">
        <v>1.4</v>
      </c>
      <c r="G31" s="94">
        <v>877</v>
      </c>
      <c r="H31" s="72">
        <f t="shared" si="3"/>
        <v>18.4604374092239</v>
      </c>
      <c r="I31" s="86">
        <v>17.739999999999998</v>
      </c>
      <c r="J31" s="86">
        <v>0.55000000000000004</v>
      </c>
      <c r="K31" s="86">
        <v>17.760000000000002</v>
      </c>
      <c r="L31" s="86">
        <v>0.7</v>
      </c>
      <c r="M31" s="102">
        <v>3</v>
      </c>
    </row>
    <row r="32" spans="2:13">
      <c r="B32" s="67"/>
      <c r="C32" s="68"/>
      <c r="D32" s="69"/>
      <c r="E32" s="73">
        <f t="shared" si="4"/>
        <v>1.4</v>
      </c>
      <c r="F32" s="71">
        <v>1.425</v>
      </c>
      <c r="G32" s="94">
        <v>231.3</v>
      </c>
      <c r="H32" s="72">
        <f t="shared" si="3"/>
        <v>4.8687561832993023</v>
      </c>
      <c r="I32" s="86">
        <v>20.12</v>
      </c>
      <c r="J32" s="86">
        <v>0.61</v>
      </c>
      <c r="K32" s="86">
        <v>17.36</v>
      </c>
      <c r="L32" s="86">
        <v>0.84</v>
      </c>
      <c r="M32" s="102">
        <v>1</v>
      </c>
    </row>
    <row r="33" spans="2:13">
      <c r="B33" s="67"/>
      <c r="C33" s="68"/>
      <c r="D33" s="69"/>
      <c r="E33" s="73">
        <f t="shared" si="4"/>
        <v>1.425</v>
      </c>
      <c r="F33" s="71">
        <v>1.45</v>
      </c>
      <c r="G33" s="94">
        <v>236.7</v>
      </c>
      <c r="H33" s="72">
        <f t="shared" si="3"/>
        <v>4.9824236428315816</v>
      </c>
      <c r="I33" s="86">
        <v>22.05</v>
      </c>
      <c r="J33" s="86">
        <v>0.59</v>
      </c>
      <c r="K33" s="86">
        <v>17.16</v>
      </c>
      <c r="L33" s="86">
        <v>0.95</v>
      </c>
      <c r="M33" s="102">
        <v>1</v>
      </c>
    </row>
    <row r="34" spans="2:13">
      <c r="B34" s="67"/>
      <c r="C34" s="68"/>
      <c r="D34" s="69"/>
      <c r="E34" s="73">
        <f t="shared" si="4"/>
        <v>1.45</v>
      </c>
      <c r="F34" s="71">
        <v>1.5</v>
      </c>
      <c r="G34" s="94">
        <v>219.8</v>
      </c>
      <c r="H34" s="72">
        <f t="shared" si="3"/>
        <v>4.6266865935546342</v>
      </c>
      <c r="I34" s="86">
        <v>24.04</v>
      </c>
      <c r="J34" s="86">
        <v>0.59</v>
      </c>
      <c r="K34" s="86">
        <v>17.02</v>
      </c>
      <c r="L34" s="86">
        <v>1.96</v>
      </c>
      <c r="M34" s="102">
        <v>1</v>
      </c>
    </row>
    <row r="35" spans="2:13">
      <c r="B35" s="67"/>
      <c r="C35" s="68"/>
      <c r="D35" s="69"/>
      <c r="E35" s="73">
        <f t="shared" si="4"/>
        <v>1.5</v>
      </c>
      <c r="F35" s="71">
        <v>1.6</v>
      </c>
      <c r="G35" s="94">
        <v>91.5</v>
      </c>
      <c r="H35" s="72">
        <f t="shared" si="3"/>
        <v>1.9260319531858461</v>
      </c>
      <c r="I35" s="86">
        <v>29.64</v>
      </c>
      <c r="J35" s="86">
        <v>0.76</v>
      </c>
      <c r="K35" s="86">
        <v>16.989999999999998</v>
      </c>
      <c r="L35" s="86">
        <v>3.28</v>
      </c>
      <c r="M35" s="102">
        <v>1</v>
      </c>
    </row>
    <row r="36" spans="2:13">
      <c r="B36" s="67"/>
      <c r="C36" s="68"/>
      <c r="D36" s="69"/>
      <c r="E36" s="73">
        <f t="shared" si="4"/>
        <v>1.6</v>
      </c>
      <c r="F36" s="71">
        <v>1.7</v>
      </c>
      <c r="G36" s="94">
        <v>59</v>
      </c>
      <c r="H36" s="72">
        <f t="shared" si="3"/>
        <v>1.241922243037868</v>
      </c>
      <c r="I36" s="86">
        <v>35.97</v>
      </c>
      <c r="J36" s="86">
        <v>0.88</v>
      </c>
      <c r="K36" s="86">
        <v>18.100000000000001</v>
      </c>
      <c r="L36" s="86">
        <v>6.51</v>
      </c>
      <c r="M36" s="102">
        <v>1</v>
      </c>
    </row>
    <row r="37" spans="2:13">
      <c r="B37" s="67"/>
      <c r="C37" s="68"/>
      <c r="D37" s="69"/>
      <c r="E37" s="73">
        <f t="shared" si="4"/>
        <v>1.7</v>
      </c>
      <c r="F37" s="71">
        <v>1.8</v>
      </c>
      <c r="G37" s="94">
        <v>15.1</v>
      </c>
      <c r="H37" s="72">
        <f t="shared" si="3"/>
        <v>0.31784789609952213</v>
      </c>
      <c r="I37" s="86">
        <v>41.93</v>
      </c>
      <c r="J37" s="86">
        <v>0.92</v>
      </c>
      <c r="K37" s="86">
        <v>18.71</v>
      </c>
      <c r="L37" s="86">
        <v>5.92</v>
      </c>
      <c r="M37" s="102">
        <v>0.5</v>
      </c>
    </row>
    <row r="38" spans="2:13">
      <c r="B38" s="67"/>
      <c r="C38" s="68"/>
      <c r="D38" s="69"/>
      <c r="E38" s="73">
        <f t="shared" si="4"/>
        <v>1.8</v>
      </c>
      <c r="F38" s="71">
        <v>2</v>
      </c>
      <c r="G38" s="94">
        <v>17.7</v>
      </c>
      <c r="H38" s="72">
        <f t="shared" si="3"/>
        <v>0.37257667291136032</v>
      </c>
      <c r="I38" s="86">
        <v>44.36</v>
      </c>
      <c r="J38" s="86">
        <v>0.88</v>
      </c>
      <c r="K38" s="86">
        <v>20.399999999999999</v>
      </c>
      <c r="L38" s="86">
        <v>7.72</v>
      </c>
      <c r="M38" s="102">
        <v>0.5</v>
      </c>
    </row>
    <row r="39" spans="2:13">
      <c r="B39" s="67"/>
      <c r="C39" s="68"/>
      <c r="D39" s="69"/>
      <c r="E39" s="73">
        <f t="shared" si="4"/>
        <v>2</v>
      </c>
      <c r="F39" s="71">
        <v>2.2000000000000002</v>
      </c>
      <c r="G39" s="94">
        <v>20.100000000000001</v>
      </c>
      <c r="H39" s="72">
        <f t="shared" si="3"/>
        <v>0.42309554381459569</v>
      </c>
      <c r="I39" s="86">
        <v>56.68</v>
      </c>
      <c r="J39" s="86">
        <v>1.19</v>
      </c>
      <c r="K39" s="86">
        <v>20.46</v>
      </c>
      <c r="L39" s="86">
        <v>9.01</v>
      </c>
      <c r="M39" s="102">
        <v>0</v>
      </c>
    </row>
    <row r="40" spans="2:13">
      <c r="B40" s="67"/>
      <c r="C40" s="68"/>
      <c r="D40" s="69"/>
      <c r="E40" s="73">
        <f t="shared" si="4"/>
        <v>2.2000000000000002</v>
      </c>
      <c r="F40" s="71">
        <v>2.8</v>
      </c>
      <c r="G40" s="94">
        <v>55.5</v>
      </c>
      <c r="H40" s="72">
        <f>G40/$G$41*100</f>
        <v>1.1682488896373164</v>
      </c>
      <c r="I40" s="86">
        <v>70.760000000000005</v>
      </c>
      <c r="J40" s="86">
        <v>1.24</v>
      </c>
      <c r="K40" s="86">
        <v>18.12</v>
      </c>
      <c r="L40" s="86">
        <v>5.24</v>
      </c>
      <c r="M40" s="102">
        <v>0</v>
      </c>
    </row>
    <row r="41" spans="2:13">
      <c r="B41" s="138" t="s">
        <v>72</v>
      </c>
      <c r="C41" s="139"/>
      <c r="D41" s="139"/>
      <c r="E41" s="74"/>
      <c r="F41" s="75"/>
      <c r="G41" s="76">
        <f>SUM(G27:G40)</f>
        <v>4750.7000000000007</v>
      </c>
      <c r="H41" s="77">
        <f>SUM(H27:H40)</f>
        <v>99.999999999999957</v>
      </c>
      <c r="I41" s="100">
        <f>SUMPRODUCT($H$27:$H$40,I27:I40)/$H$41</f>
        <v>16.105508872376706</v>
      </c>
      <c r="J41" s="100">
        <f t="shared" ref="J41:L41" si="5">SUMPRODUCT($H$27:$H$40,J27:J40)/$H$41</f>
        <v>0.59726671858883951</v>
      </c>
      <c r="K41" s="100">
        <f t="shared" si="5"/>
        <v>19.171830256593765</v>
      </c>
      <c r="L41" s="100">
        <f t="shared" si="5"/>
        <v>0.89281263813753786</v>
      </c>
      <c r="M41" s="101">
        <f>SUMPRODUCT($H$27:$H$40,M27:M40)/$H$41</f>
        <v>4.8348032921464217</v>
      </c>
    </row>
    <row r="42" spans="2:13">
      <c r="B42" s="63" t="s">
        <v>75</v>
      </c>
      <c r="C42" s="64" t="s">
        <v>76</v>
      </c>
      <c r="D42" s="65"/>
      <c r="E42" s="66"/>
      <c r="F42" s="66"/>
      <c r="G42" s="99">
        <v>3000</v>
      </c>
      <c r="H42" s="66"/>
      <c r="I42" s="66"/>
      <c r="J42" s="66"/>
      <c r="K42" s="66"/>
      <c r="L42" s="66"/>
      <c r="M42" s="66"/>
    </row>
    <row r="43" spans="2:13">
      <c r="B43" s="67"/>
      <c r="C43" s="68"/>
      <c r="D43" s="69"/>
      <c r="E43" s="70">
        <v>1.25</v>
      </c>
      <c r="F43" s="71">
        <v>1.3</v>
      </c>
      <c r="G43" s="94">
        <v>801.5</v>
      </c>
      <c r="H43" s="72">
        <f>G43/$G$57*100</f>
        <v>16.190283809716188</v>
      </c>
      <c r="I43" s="86">
        <v>4.51</v>
      </c>
      <c r="J43" s="86">
        <v>0.5</v>
      </c>
      <c r="K43" s="86">
        <v>23.69</v>
      </c>
      <c r="L43" s="86">
        <v>0.37</v>
      </c>
      <c r="M43" s="102">
        <v>8.5</v>
      </c>
    </row>
    <row r="44" spans="2:13">
      <c r="B44" s="67"/>
      <c r="C44" s="68"/>
      <c r="D44" s="69"/>
      <c r="E44" s="73">
        <f>F43</f>
        <v>1.3</v>
      </c>
      <c r="F44" s="71">
        <v>1.325</v>
      </c>
      <c r="G44" s="94">
        <v>644.6</v>
      </c>
      <c r="H44" s="72">
        <f t="shared" ref="H44:H54" si="6">G44/$G$57*100</f>
        <v>13.02090697909302</v>
      </c>
      <c r="I44" s="86">
        <v>9.0399999999999991</v>
      </c>
      <c r="J44" s="86">
        <v>0.42</v>
      </c>
      <c r="K44" s="86">
        <v>21.94</v>
      </c>
      <c r="L44" s="86">
        <v>0.48</v>
      </c>
      <c r="M44" s="102">
        <v>8.5</v>
      </c>
    </row>
    <row r="45" spans="2:13">
      <c r="B45" s="67"/>
      <c r="C45" s="68"/>
      <c r="D45" s="69"/>
      <c r="E45" s="73">
        <f t="shared" ref="E45:E56" si="7">F44</f>
        <v>1.325</v>
      </c>
      <c r="F45" s="71">
        <v>1.35</v>
      </c>
      <c r="G45" s="94">
        <v>887.2</v>
      </c>
      <c r="H45" s="72">
        <f t="shared" si="6"/>
        <v>17.921422078577919</v>
      </c>
      <c r="I45" s="86">
        <v>11.36</v>
      </c>
      <c r="J45" s="86">
        <v>0.5</v>
      </c>
      <c r="K45" s="86">
        <v>20.29</v>
      </c>
      <c r="L45" s="86">
        <v>0.52</v>
      </c>
      <c r="M45" s="102">
        <v>7.5</v>
      </c>
    </row>
    <row r="46" spans="2:13">
      <c r="B46" s="67"/>
      <c r="C46" s="68"/>
      <c r="D46" s="69"/>
      <c r="E46" s="73">
        <f t="shared" si="7"/>
        <v>1.35</v>
      </c>
      <c r="F46" s="71">
        <v>1.375</v>
      </c>
      <c r="G46" s="94">
        <v>820.4</v>
      </c>
      <c r="H46" s="72">
        <f t="shared" si="6"/>
        <v>16.572063427936566</v>
      </c>
      <c r="I46" s="86">
        <v>12.52</v>
      </c>
      <c r="J46" s="86">
        <v>0.48</v>
      </c>
      <c r="K46" s="86">
        <v>19.8</v>
      </c>
      <c r="L46" s="86">
        <v>0.57999999999999996</v>
      </c>
      <c r="M46" s="102">
        <v>6.5</v>
      </c>
    </row>
    <row r="47" spans="2:13">
      <c r="B47" s="67"/>
      <c r="C47" s="68"/>
      <c r="D47" s="69"/>
      <c r="E47" s="73">
        <f t="shared" si="7"/>
        <v>1.375</v>
      </c>
      <c r="F47" s="71">
        <v>1.4</v>
      </c>
      <c r="G47" s="94">
        <v>708.1</v>
      </c>
      <c r="H47" s="72">
        <f t="shared" si="6"/>
        <v>14.3036056963943</v>
      </c>
      <c r="I47" s="86">
        <v>16.010000000000002</v>
      </c>
      <c r="J47" s="86">
        <v>0.46</v>
      </c>
      <c r="K47" s="86">
        <v>18.46</v>
      </c>
      <c r="L47" s="86">
        <v>0.61</v>
      </c>
      <c r="M47" s="102">
        <v>2</v>
      </c>
    </row>
    <row r="48" spans="2:13">
      <c r="B48" s="67"/>
      <c r="C48" s="68"/>
      <c r="D48" s="69"/>
      <c r="E48" s="73">
        <f t="shared" si="7"/>
        <v>1.4</v>
      </c>
      <c r="F48" s="71">
        <v>1.425</v>
      </c>
      <c r="G48" s="94">
        <v>272.2</v>
      </c>
      <c r="H48" s="72">
        <f t="shared" si="6"/>
        <v>5.4984345015654972</v>
      </c>
      <c r="I48" s="86">
        <v>18.45</v>
      </c>
      <c r="J48" s="86">
        <v>0.48</v>
      </c>
      <c r="K48" s="86">
        <v>17.88</v>
      </c>
      <c r="L48" s="86">
        <v>0.79</v>
      </c>
      <c r="M48" s="102">
        <v>1.5</v>
      </c>
    </row>
    <row r="49" spans="2:13">
      <c r="B49" s="67"/>
      <c r="C49" s="68"/>
      <c r="D49" s="69"/>
      <c r="E49" s="73">
        <f t="shared" si="7"/>
        <v>1.425</v>
      </c>
      <c r="F49" s="71">
        <v>1.45</v>
      </c>
      <c r="G49" s="94">
        <v>259</v>
      </c>
      <c r="H49" s="72">
        <f t="shared" si="6"/>
        <v>5.2317947682052308</v>
      </c>
      <c r="I49" s="86">
        <v>20.309999999999999</v>
      </c>
      <c r="J49" s="86">
        <v>0.4</v>
      </c>
      <c r="K49" s="86">
        <v>17.59</v>
      </c>
      <c r="L49" s="86">
        <v>0.95</v>
      </c>
      <c r="M49" s="102">
        <v>1</v>
      </c>
    </row>
    <row r="50" spans="2:13">
      <c r="B50" s="67"/>
      <c r="C50" s="68"/>
      <c r="D50" s="69"/>
      <c r="E50" s="73">
        <f t="shared" si="7"/>
        <v>1.45</v>
      </c>
      <c r="F50" s="71">
        <v>1.5</v>
      </c>
      <c r="G50" s="94">
        <v>242.7</v>
      </c>
      <c r="H50" s="72">
        <f t="shared" si="6"/>
        <v>4.9025350974649013</v>
      </c>
      <c r="I50" s="86">
        <v>23.39</v>
      </c>
      <c r="J50" s="86">
        <v>0.43</v>
      </c>
      <c r="K50" s="86">
        <v>17.05</v>
      </c>
      <c r="L50" s="86">
        <v>1.45</v>
      </c>
      <c r="M50" s="102">
        <v>1</v>
      </c>
    </row>
    <row r="51" spans="2:13">
      <c r="B51" s="67"/>
      <c r="C51" s="68"/>
      <c r="D51" s="69"/>
      <c r="E51" s="73">
        <f t="shared" si="7"/>
        <v>1.5</v>
      </c>
      <c r="F51" s="71">
        <v>1.6</v>
      </c>
      <c r="G51" s="94">
        <v>106.2</v>
      </c>
      <c r="H51" s="72">
        <f t="shared" si="6"/>
        <v>2.1452378547621449</v>
      </c>
      <c r="I51" s="86">
        <v>27.98</v>
      </c>
      <c r="J51" s="86">
        <v>0.52</v>
      </c>
      <c r="K51" s="86">
        <v>17.149999999999999</v>
      </c>
      <c r="L51" s="86">
        <v>3.13</v>
      </c>
      <c r="M51" s="102">
        <v>1</v>
      </c>
    </row>
    <row r="52" spans="2:13">
      <c r="B52" s="67"/>
      <c r="C52" s="68"/>
      <c r="D52" s="69"/>
      <c r="E52" s="73">
        <f t="shared" si="7"/>
        <v>1.6</v>
      </c>
      <c r="F52" s="71">
        <v>1.7</v>
      </c>
      <c r="G52" s="94">
        <v>37.6</v>
      </c>
      <c r="H52" s="72">
        <f t="shared" si="6"/>
        <v>0.75951924048075947</v>
      </c>
      <c r="I52" s="86">
        <v>35.72</v>
      </c>
      <c r="J52" s="86">
        <v>0.54</v>
      </c>
      <c r="K52" s="86">
        <v>17.440000000000001</v>
      </c>
      <c r="L52" s="86">
        <v>4.55</v>
      </c>
      <c r="M52" s="102">
        <v>1</v>
      </c>
    </row>
    <row r="53" spans="2:13">
      <c r="B53" s="67"/>
      <c r="C53" s="68"/>
      <c r="D53" s="69"/>
      <c r="E53" s="73">
        <f t="shared" si="7"/>
        <v>1.7</v>
      </c>
      <c r="F53" s="71">
        <v>1.8</v>
      </c>
      <c r="G53" s="94">
        <v>22.1</v>
      </c>
      <c r="H53" s="72">
        <f t="shared" si="6"/>
        <v>0.44641955358044638</v>
      </c>
      <c r="I53" s="86">
        <v>38.369999999999997</v>
      </c>
      <c r="J53" s="86">
        <v>0.56000000000000005</v>
      </c>
      <c r="K53" s="86">
        <v>18.3</v>
      </c>
      <c r="L53" s="86">
        <v>6.43</v>
      </c>
      <c r="M53" s="102">
        <v>0</v>
      </c>
    </row>
    <row r="54" spans="2:13">
      <c r="B54" s="67"/>
      <c r="C54" s="68"/>
      <c r="D54" s="69"/>
      <c r="E54" s="73">
        <f t="shared" si="7"/>
        <v>1.8</v>
      </c>
      <c r="F54" s="71">
        <v>2</v>
      </c>
      <c r="G54" s="94">
        <v>24.3</v>
      </c>
      <c r="H54" s="72">
        <f t="shared" si="6"/>
        <v>0.49085950914049081</v>
      </c>
      <c r="I54" s="86">
        <v>50.57</v>
      </c>
      <c r="J54" s="86">
        <v>0.69</v>
      </c>
      <c r="K54" s="86">
        <v>18.420000000000002</v>
      </c>
      <c r="L54" s="86">
        <v>6.37</v>
      </c>
      <c r="M54" s="102">
        <v>0</v>
      </c>
    </row>
    <row r="55" spans="2:13">
      <c r="B55" s="67"/>
      <c r="C55" s="68"/>
      <c r="D55" s="69"/>
      <c r="E55" s="73">
        <f t="shared" si="7"/>
        <v>2</v>
      </c>
      <c r="F55" s="71">
        <v>2.2000000000000002</v>
      </c>
      <c r="G55" s="94" t="s">
        <v>9</v>
      </c>
      <c r="H55" s="72" t="s">
        <v>9</v>
      </c>
      <c r="I55" s="86" t="s">
        <v>9</v>
      </c>
      <c r="J55" s="86" t="s">
        <v>9</v>
      </c>
      <c r="K55" s="86" t="s">
        <v>9</v>
      </c>
      <c r="L55" s="86" t="s">
        <v>9</v>
      </c>
      <c r="M55" s="102" t="s">
        <v>9</v>
      </c>
    </row>
    <row r="56" spans="2:13">
      <c r="B56" s="67"/>
      <c r="C56" s="68"/>
      <c r="D56" s="69"/>
      <c r="E56" s="73">
        <f t="shared" si="7"/>
        <v>2.2000000000000002</v>
      </c>
      <c r="F56" s="71">
        <v>2.8</v>
      </c>
      <c r="G56" s="94">
        <v>124.6</v>
      </c>
      <c r="H56" s="72">
        <f>G56/$G$57*100</f>
        <v>2.5169174830825165</v>
      </c>
      <c r="I56" s="86">
        <v>74.19</v>
      </c>
      <c r="J56" s="86">
        <v>0.7</v>
      </c>
      <c r="K56" s="86">
        <v>17.18</v>
      </c>
      <c r="L56" s="86">
        <v>6.22</v>
      </c>
      <c r="M56" s="102">
        <v>0</v>
      </c>
    </row>
    <row r="57" spans="2:13">
      <c r="B57" s="138" t="s">
        <v>72</v>
      </c>
      <c r="C57" s="139"/>
      <c r="D57" s="139"/>
      <c r="E57" s="74"/>
      <c r="F57" s="75"/>
      <c r="G57" s="76">
        <f>SUM(G43:G56)</f>
        <v>4950.5000000000009</v>
      </c>
      <c r="H57" s="77">
        <f>SUM(H43:H56)</f>
        <v>99.999999999999986</v>
      </c>
      <c r="I57" s="78">
        <f>SUMPRODUCT($H$43:$H$56,I43:I56)/$H$57</f>
        <v>14.690074335925662</v>
      </c>
      <c r="J57" s="78">
        <f t="shared" ref="J57:M57" si="8">SUMPRODUCT($H$43:$H$56,J43:J56)/$H$57</f>
        <v>0.47775133824866178</v>
      </c>
      <c r="K57" s="78">
        <f t="shared" si="8"/>
        <v>20.094396929603075</v>
      </c>
      <c r="L57" s="78">
        <f t="shared" si="8"/>
        <v>0.88142106857893121</v>
      </c>
      <c r="M57" s="87">
        <f t="shared" si="8"/>
        <v>5.4031814968185037</v>
      </c>
    </row>
    <row r="58" spans="2:13">
      <c r="B58" s="63" t="s">
        <v>77</v>
      </c>
      <c r="C58" s="64" t="s">
        <v>78</v>
      </c>
      <c r="D58" s="65"/>
      <c r="E58" s="66"/>
      <c r="F58" s="66"/>
      <c r="G58" s="99">
        <v>2000</v>
      </c>
      <c r="H58" s="66"/>
      <c r="I58" s="66"/>
      <c r="J58" s="66"/>
      <c r="K58" s="66"/>
      <c r="L58" s="66"/>
      <c r="M58" s="66"/>
    </row>
    <row r="59" spans="2:13">
      <c r="B59" s="67"/>
      <c r="C59" s="68"/>
      <c r="D59" s="69"/>
      <c r="E59" s="70">
        <v>1.25</v>
      </c>
      <c r="F59" s="71">
        <v>1.3</v>
      </c>
      <c r="G59" s="94">
        <v>1105.9000000000001</v>
      </c>
      <c r="H59" s="72">
        <f>G59/$G$73*100</f>
        <v>37.214389070229167</v>
      </c>
      <c r="I59" s="86">
        <v>2.96</v>
      </c>
      <c r="J59" s="86">
        <v>0.55000000000000004</v>
      </c>
      <c r="K59" s="86">
        <v>24.81</v>
      </c>
      <c r="L59" s="86">
        <v>0.43</v>
      </c>
      <c r="M59" s="102">
        <v>8.5</v>
      </c>
    </row>
    <row r="60" spans="2:13">
      <c r="B60" s="67"/>
      <c r="C60" s="68"/>
      <c r="D60" s="69"/>
      <c r="E60" s="73">
        <f>F59</f>
        <v>1.3</v>
      </c>
      <c r="F60" s="71">
        <v>1.325</v>
      </c>
      <c r="G60" s="94">
        <v>276.39999999999998</v>
      </c>
      <c r="H60" s="72">
        <f t="shared" ref="H60:H71" si="9">G60/$G$73*100</f>
        <v>9.3010734596358997</v>
      </c>
      <c r="I60" s="86">
        <v>6.99</v>
      </c>
      <c r="J60" s="86">
        <v>0.47</v>
      </c>
      <c r="K60" s="86">
        <v>23.03</v>
      </c>
      <c r="L60" s="86">
        <v>0.47</v>
      </c>
      <c r="M60" s="102">
        <v>8.5</v>
      </c>
    </row>
    <row r="61" spans="2:13">
      <c r="B61" s="67"/>
      <c r="C61" s="68"/>
      <c r="D61" s="69"/>
      <c r="E61" s="73">
        <f t="shared" ref="E61:E72" si="10">F60</f>
        <v>1.325</v>
      </c>
      <c r="F61" s="71">
        <v>1.35</v>
      </c>
      <c r="G61" s="94">
        <v>267.2</v>
      </c>
      <c r="H61" s="72">
        <f t="shared" si="9"/>
        <v>8.9914863546118404</v>
      </c>
      <c r="I61" s="86">
        <v>9.5399999999999991</v>
      </c>
      <c r="J61" s="86">
        <v>0.49</v>
      </c>
      <c r="K61" s="86">
        <v>21.75</v>
      </c>
      <c r="L61" s="86">
        <v>0.51</v>
      </c>
      <c r="M61" s="102">
        <v>8</v>
      </c>
    </row>
    <row r="62" spans="2:13">
      <c r="B62" s="67"/>
      <c r="C62" s="68"/>
      <c r="D62" s="69"/>
      <c r="E62" s="73">
        <f t="shared" si="10"/>
        <v>1.35</v>
      </c>
      <c r="F62" s="71">
        <v>1.375</v>
      </c>
      <c r="G62" s="94">
        <v>327.10000000000002</v>
      </c>
      <c r="H62" s="72">
        <f t="shared" si="9"/>
        <v>11.007167614496757</v>
      </c>
      <c r="I62" s="86">
        <v>11.44</v>
      </c>
      <c r="J62" s="86">
        <v>0.45</v>
      </c>
      <c r="K62" s="86">
        <v>20.64</v>
      </c>
      <c r="L62" s="86">
        <v>0.51</v>
      </c>
      <c r="M62" s="102">
        <v>7</v>
      </c>
    </row>
    <row r="63" spans="2:13">
      <c r="B63" s="67"/>
      <c r="C63" s="68"/>
      <c r="D63" s="69"/>
      <c r="E63" s="73">
        <f t="shared" si="10"/>
        <v>1.375</v>
      </c>
      <c r="F63" s="71">
        <v>1.4</v>
      </c>
      <c r="G63" s="94">
        <v>353.9</v>
      </c>
      <c r="H63" s="72">
        <f t="shared" si="9"/>
        <v>11.909008311740758</v>
      </c>
      <c r="I63" s="86">
        <v>14.96</v>
      </c>
      <c r="J63" s="86">
        <v>0.56999999999999995</v>
      </c>
      <c r="K63" s="86">
        <v>19.47</v>
      </c>
      <c r="L63" s="86">
        <v>0.56000000000000005</v>
      </c>
      <c r="M63" s="102">
        <v>5</v>
      </c>
    </row>
    <row r="64" spans="2:13">
      <c r="B64" s="67"/>
      <c r="C64" s="68"/>
      <c r="D64" s="69"/>
      <c r="E64" s="73">
        <f t="shared" si="10"/>
        <v>1.4</v>
      </c>
      <c r="F64" s="71">
        <v>1.425</v>
      </c>
      <c r="G64" s="94">
        <v>89.7</v>
      </c>
      <c r="H64" s="72">
        <f t="shared" si="9"/>
        <v>3.0184742739845887</v>
      </c>
      <c r="I64" s="86">
        <v>16.05</v>
      </c>
      <c r="J64" s="86">
        <v>0.41</v>
      </c>
      <c r="K64" s="86">
        <v>19.34</v>
      </c>
      <c r="L64" s="86">
        <v>0.6</v>
      </c>
      <c r="M64" s="102">
        <v>1.5</v>
      </c>
    </row>
    <row r="65" spans="2:13">
      <c r="B65" s="67"/>
      <c r="C65" s="68"/>
      <c r="D65" s="69"/>
      <c r="E65" s="73">
        <f t="shared" si="10"/>
        <v>1.425</v>
      </c>
      <c r="F65" s="71">
        <v>1.45</v>
      </c>
      <c r="G65" s="94">
        <v>157.69999999999999</v>
      </c>
      <c r="H65" s="72">
        <f t="shared" si="9"/>
        <v>5.3067267893798169</v>
      </c>
      <c r="I65" s="86">
        <v>18.22</v>
      </c>
      <c r="J65" s="86">
        <v>0.55000000000000004</v>
      </c>
      <c r="K65" s="86">
        <v>18.78</v>
      </c>
      <c r="L65" s="86">
        <v>0.69</v>
      </c>
      <c r="M65" s="102">
        <v>1</v>
      </c>
    </row>
    <row r="66" spans="2:13">
      <c r="B66" s="67"/>
      <c r="C66" s="68"/>
      <c r="D66" s="69"/>
      <c r="E66" s="73">
        <f t="shared" si="10"/>
        <v>1.45</v>
      </c>
      <c r="F66" s="71">
        <v>1.5</v>
      </c>
      <c r="G66" s="94">
        <v>176.6</v>
      </c>
      <c r="H66" s="72">
        <f t="shared" si="9"/>
        <v>5.9427263855705501</v>
      </c>
      <c r="I66" s="86">
        <v>22.15</v>
      </c>
      <c r="J66" s="86">
        <v>0.63</v>
      </c>
      <c r="K66" s="86">
        <v>17.53</v>
      </c>
      <c r="L66" s="86">
        <v>0.93</v>
      </c>
      <c r="M66" s="102">
        <v>1</v>
      </c>
    </row>
    <row r="67" spans="2:13">
      <c r="B67" s="67"/>
      <c r="C67" s="68"/>
      <c r="D67" s="69"/>
      <c r="E67" s="73">
        <f t="shared" si="10"/>
        <v>1.5</v>
      </c>
      <c r="F67" s="71">
        <v>1.6</v>
      </c>
      <c r="G67" s="94">
        <v>87.5</v>
      </c>
      <c r="H67" s="72">
        <f t="shared" si="9"/>
        <v>2.9444425749570962</v>
      </c>
      <c r="I67" s="86">
        <v>27.22</v>
      </c>
      <c r="J67" s="86">
        <v>0.68</v>
      </c>
      <c r="K67" s="86">
        <v>17.02</v>
      </c>
      <c r="L67" s="86">
        <v>1.88</v>
      </c>
      <c r="M67" s="102">
        <v>1</v>
      </c>
    </row>
    <row r="68" spans="2:13">
      <c r="B68" s="67"/>
      <c r="C68" s="68"/>
      <c r="D68" s="69"/>
      <c r="E68" s="73">
        <f t="shared" si="10"/>
        <v>1.6</v>
      </c>
      <c r="F68" s="71">
        <v>1.7</v>
      </c>
      <c r="G68" s="94">
        <v>28.6</v>
      </c>
      <c r="H68" s="72">
        <f t="shared" si="9"/>
        <v>0.96241208735740513</v>
      </c>
      <c r="I68" s="86">
        <v>32.51</v>
      </c>
      <c r="J68" s="86">
        <v>0.7</v>
      </c>
      <c r="K68" s="86">
        <v>17.21</v>
      </c>
      <c r="L68" s="86">
        <v>3.03</v>
      </c>
      <c r="M68" s="102">
        <v>0</v>
      </c>
    </row>
    <row r="69" spans="2:13">
      <c r="B69" s="67"/>
      <c r="C69" s="68"/>
      <c r="D69" s="69"/>
      <c r="E69" s="73">
        <f t="shared" si="10"/>
        <v>1.7</v>
      </c>
      <c r="F69" s="71">
        <v>1.8</v>
      </c>
      <c r="G69" s="94">
        <v>11.7</v>
      </c>
      <c r="H69" s="72">
        <f t="shared" si="9"/>
        <v>0.39371403573712027</v>
      </c>
      <c r="I69" s="86">
        <v>37.57</v>
      </c>
      <c r="J69" s="86">
        <v>0.62</v>
      </c>
      <c r="K69" s="86">
        <v>17.25</v>
      </c>
      <c r="L69" s="86">
        <v>3.26</v>
      </c>
      <c r="M69" s="102">
        <v>0</v>
      </c>
    </row>
    <row r="70" spans="2:13">
      <c r="B70" s="67"/>
      <c r="C70" s="68"/>
      <c r="D70" s="69"/>
      <c r="E70" s="73">
        <f t="shared" si="10"/>
        <v>1.8</v>
      </c>
      <c r="F70" s="71">
        <v>2</v>
      </c>
      <c r="G70" s="94">
        <v>13.7</v>
      </c>
      <c r="H70" s="72">
        <f t="shared" si="9"/>
        <v>0.46101558030756812</v>
      </c>
      <c r="I70" s="86">
        <v>58.92</v>
      </c>
      <c r="J70" s="86">
        <v>0.77</v>
      </c>
      <c r="K70" s="86">
        <v>18.920000000000002</v>
      </c>
      <c r="L70" s="86">
        <v>2.91</v>
      </c>
      <c r="M70" s="102">
        <v>0</v>
      </c>
    </row>
    <row r="71" spans="2:13">
      <c r="B71" s="67"/>
      <c r="C71" s="68"/>
      <c r="D71" s="69"/>
      <c r="E71" s="73">
        <f t="shared" si="10"/>
        <v>2</v>
      </c>
      <c r="F71" s="71">
        <v>2.2000000000000002</v>
      </c>
      <c r="G71" s="94">
        <v>16.5</v>
      </c>
      <c r="H71" s="72">
        <f t="shared" si="9"/>
        <v>0.55523774270619519</v>
      </c>
      <c r="I71" s="86">
        <v>50.74</v>
      </c>
      <c r="J71" s="86">
        <v>0.78</v>
      </c>
      <c r="K71" s="86">
        <v>16.73</v>
      </c>
      <c r="L71" s="86">
        <v>3.51</v>
      </c>
      <c r="M71" s="102">
        <v>0</v>
      </c>
    </row>
    <row r="72" spans="2:13">
      <c r="B72" s="67"/>
      <c r="C72" s="68"/>
      <c r="D72" s="69"/>
      <c r="E72" s="73">
        <f t="shared" si="10"/>
        <v>2.2000000000000002</v>
      </c>
      <c r="F72" s="71">
        <v>2.8</v>
      </c>
      <c r="G72" s="94">
        <v>59.2</v>
      </c>
      <c r="H72" s="72">
        <f>G72/$G$73*100</f>
        <v>1.9921257192852582</v>
      </c>
      <c r="I72" s="86">
        <v>77.95</v>
      </c>
      <c r="J72" s="86">
        <v>0.67</v>
      </c>
      <c r="K72" s="86">
        <v>18.329999999999998</v>
      </c>
      <c r="L72" s="86">
        <v>3.89</v>
      </c>
      <c r="M72" s="102">
        <v>0</v>
      </c>
    </row>
    <row r="73" spans="2:13">
      <c r="B73" s="138" t="s">
        <v>72</v>
      </c>
      <c r="C73" s="139"/>
      <c r="D73" s="139"/>
      <c r="E73" s="74"/>
      <c r="F73" s="75"/>
      <c r="G73" s="76">
        <f>SUM(G59:G72)</f>
        <v>2971.6999999999994</v>
      </c>
      <c r="H73" s="77">
        <f>SUM(H59:H72)</f>
        <v>100.00000000000004</v>
      </c>
      <c r="I73" s="78">
        <f>SUMPRODUCT($H$59:$H$72,I59:I72)/$H$73</f>
        <v>11.786446814954399</v>
      </c>
      <c r="J73" s="78">
        <f t="shared" ref="J73:M73" si="11">SUMPRODUCT($H$59:$H$72,J59:J72)/$H$73</f>
        <v>0.53929602584379299</v>
      </c>
      <c r="K73" s="78">
        <f t="shared" si="11"/>
        <v>21.823237877309278</v>
      </c>
      <c r="L73" s="78">
        <f t="shared" si="11"/>
        <v>0.69016488878419746</v>
      </c>
      <c r="M73" s="87">
        <f t="shared" si="11"/>
        <v>6.2263014436181283</v>
      </c>
    </row>
    <row r="74" spans="2:13">
      <c r="B74" s="63" t="s">
        <v>79</v>
      </c>
      <c r="C74" s="64" t="s">
        <v>80</v>
      </c>
      <c r="D74" s="65"/>
      <c r="E74" s="66"/>
      <c r="F74" s="66"/>
      <c r="G74" s="99">
        <v>1000</v>
      </c>
      <c r="H74" s="66"/>
      <c r="I74" s="66"/>
      <c r="J74" s="66"/>
      <c r="K74" s="66"/>
      <c r="L74" s="66"/>
      <c r="M74" s="66"/>
    </row>
    <row r="75" spans="2:13">
      <c r="B75" s="67"/>
      <c r="C75" s="68"/>
      <c r="D75" s="69"/>
      <c r="E75" s="70">
        <v>1.25</v>
      </c>
      <c r="F75" s="71">
        <v>1.3</v>
      </c>
      <c r="G75" s="94">
        <v>686.3</v>
      </c>
      <c r="H75" s="72">
        <f>G75/$G$89*100</f>
        <v>35.08691206543967</v>
      </c>
      <c r="I75" s="86">
        <v>2.85</v>
      </c>
      <c r="J75" s="86">
        <v>0.7</v>
      </c>
      <c r="K75" s="86">
        <v>24.36</v>
      </c>
      <c r="L75" s="86">
        <v>0.56999999999999995</v>
      </c>
      <c r="M75" s="102">
        <v>9</v>
      </c>
    </row>
    <row r="76" spans="2:13">
      <c r="B76" s="67"/>
      <c r="C76" s="68"/>
      <c r="D76" s="69"/>
      <c r="E76" s="73">
        <f>F75</f>
        <v>1.3</v>
      </c>
      <c r="F76" s="71">
        <v>1.325</v>
      </c>
      <c r="G76" s="94">
        <v>203.4</v>
      </c>
      <c r="H76" s="72">
        <f t="shared" ref="H76:H88" si="12">G76/$G$89*100</f>
        <v>10.398773006134968</v>
      </c>
      <c r="I76" s="86">
        <v>6.15</v>
      </c>
      <c r="J76" s="86">
        <v>0.67</v>
      </c>
      <c r="K76" s="86">
        <v>22.86</v>
      </c>
      <c r="L76" s="86">
        <v>0.52</v>
      </c>
      <c r="M76" s="102">
        <v>8</v>
      </c>
    </row>
    <row r="77" spans="2:13">
      <c r="B77" s="67"/>
      <c r="C77" s="68"/>
      <c r="D77" s="69"/>
      <c r="E77" s="73">
        <f t="shared" ref="E77:E88" si="13">F76</f>
        <v>1.325</v>
      </c>
      <c r="F77" s="71">
        <v>1.35</v>
      </c>
      <c r="G77" s="94">
        <v>295.39999999999998</v>
      </c>
      <c r="H77" s="72">
        <f t="shared" si="12"/>
        <v>15.102249488752555</v>
      </c>
      <c r="I77" s="86">
        <v>8.02</v>
      </c>
      <c r="J77" s="86">
        <v>0.67</v>
      </c>
      <c r="K77" s="86">
        <v>22.19</v>
      </c>
      <c r="L77" s="86">
        <v>0.57999999999999996</v>
      </c>
      <c r="M77" s="102">
        <v>7.5</v>
      </c>
    </row>
    <row r="78" spans="2:13">
      <c r="B78" s="67"/>
      <c r="C78" s="68"/>
      <c r="D78" s="69"/>
      <c r="E78" s="73">
        <f t="shared" si="13"/>
        <v>1.35</v>
      </c>
      <c r="F78" s="71">
        <v>1.375</v>
      </c>
      <c r="G78" s="94">
        <v>155.69999999999999</v>
      </c>
      <c r="H78" s="72">
        <f t="shared" si="12"/>
        <v>7.9601226993865026</v>
      </c>
      <c r="I78" s="86">
        <v>8.5299999999999994</v>
      </c>
      <c r="J78" s="86">
        <v>0.76</v>
      </c>
      <c r="K78" s="86">
        <v>21.07</v>
      </c>
      <c r="L78" s="86">
        <v>0.51</v>
      </c>
      <c r="M78" s="102">
        <v>6.5</v>
      </c>
    </row>
    <row r="79" spans="2:13">
      <c r="B79" s="67"/>
      <c r="C79" s="68"/>
      <c r="D79" s="69"/>
      <c r="E79" s="73">
        <f t="shared" si="13"/>
        <v>1.375</v>
      </c>
      <c r="F79" s="71">
        <v>1.4</v>
      </c>
      <c r="G79" s="94">
        <v>177.4</v>
      </c>
      <c r="H79" s="72">
        <f t="shared" si="12"/>
        <v>9.0695296523517399</v>
      </c>
      <c r="I79" s="86">
        <v>11.52</v>
      </c>
      <c r="J79" s="86">
        <v>0.74</v>
      </c>
      <c r="K79" s="86">
        <v>19.77</v>
      </c>
      <c r="L79" s="86">
        <v>0.54</v>
      </c>
      <c r="M79" s="102">
        <v>3</v>
      </c>
    </row>
    <row r="80" spans="2:13">
      <c r="B80" s="67"/>
      <c r="C80" s="68"/>
      <c r="D80" s="69"/>
      <c r="E80" s="73">
        <f t="shared" si="13"/>
        <v>1.4</v>
      </c>
      <c r="F80" s="71">
        <v>1.425</v>
      </c>
      <c r="G80" s="94">
        <v>69.5</v>
      </c>
      <c r="H80" s="72">
        <f t="shared" si="12"/>
        <v>3.5531697341513291</v>
      </c>
      <c r="I80" s="86">
        <v>12.14</v>
      </c>
      <c r="J80" s="86">
        <v>0.77</v>
      </c>
      <c r="K80" s="86">
        <v>19.420000000000002</v>
      </c>
      <c r="L80" s="86">
        <v>0.56999999999999995</v>
      </c>
      <c r="M80" s="102">
        <v>2</v>
      </c>
    </row>
    <row r="81" spans="2:13">
      <c r="B81" s="67"/>
      <c r="C81" s="68"/>
      <c r="D81" s="69"/>
      <c r="E81" s="73">
        <f t="shared" si="13"/>
        <v>1.425</v>
      </c>
      <c r="F81" s="71">
        <v>1.45</v>
      </c>
      <c r="G81" s="94">
        <v>98.5</v>
      </c>
      <c r="H81" s="72">
        <f t="shared" si="12"/>
        <v>5.0357873210633946</v>
      </c>
      <c r="I81" s="86">
        <v>15.5</v>
      </c>
      <c r="J81" s="86">
        <v>0.83</v>
      </c>
      <c r="K81" s="86">
        <v>18.55</v>
      </c>
      <c r="L81" s="86">
        <v>0.62</v>
      </c>
      <c r="M81" s="102">
        <v>1</v>
      </c>
    </row>
    <row r="82" spans="2:13">
      <c r="B82" s="67"/>
      <c r="C82" s="68"/>
      <c r="D82" s="69"/>
      <c r="E82" s="73">
        <f t="shared" si="13"/>
        <v>1.45</v>
      </c>
      <c r="F82" s="71">
        <v>1.5</v>
      </c>
      <c r="G82" s="94">
        <v>95.2</v>
      </c>
      <c r="H82" s="72">
        <f t="shared" si="12"/>
        <v>4.8670756646216766</v>
      </c>
      <c r="I82" s="86">
        <v>18.22</v>
      </c>
      <c r="J82" s="86">
        <v>0.79</v>
      </c>
      <c r="K82" s="86">
        <v>17.97</v>
      </c>
      <c r="L82" s="86">
        <v>0.75</v>
      </c>
      <c r="M82" s="102">
        <v>1</v>
      </c>
    </row>
    <row r="83" spans="2:13">
      <c r="B83" s="67"/>
      <c r="C83" s="68"/>
      <c r="D83" s="69"/>
      <c r="E83" s="73">
        <f t="shared" si="13"/>
        <v>1.5</v>
      </c>
      <c r="F83" s="71">
        <v>1.6</v>
      </c>
      <c r="G83" s="94">
        <v>69.3</v>
      </c>
      <c r="H83" s="72">
        <f t="shared" si="12"/>
        <v>3.5429447852760734</v>
      </c>
      <c r="I83" s="86">
        <v>21.73</v>
      </c>
      <c r="J83" s="86">
        <v>0.98</v>
      </c>
      <c r="K83" s="86">
        <v>17.489999999999998</v>
      </c>
      <c r="L83" s="86">
        <v>1.03</v>
      </c>
      <c r="M83" s="102">
        <v>0.5</v>
      </c>
    </row>
    <row r="84" spans="2:13">
      <c r="B84" s="67"/>
      <c r="C84" s="68"/>
      <c r="D84" s="69"/>
      <c r="E84" s="73">
        <f t="shared" si="13"/>
        <v>1.6</v>
      </c>
      <c r="F84" s="71">
        <v>1.7</v>
      </c>
      <c r="G84" s="94">
        <v>18.2</v>
      </c>
      <c r="H84" s="72">
        <f t="shared" si="12"/>
        <v>0.93047034764826164</v>
      </c>
      <c r="I84" s="86">
        <v>27.31</v>
      </c>
      <c r="J84" s="86">
        <v>1.1200000000000001</v>
      </c>
      <c r="K84" s="86">
        <v>16.600000000000001</v>
      </c>
      <c r="L84" s="86">
        <v>1.65</v>
      </c>
      <c r="M84" s="102">
        <v>0.5</v>
      </c>
    </row>
    <row r="85" spans="2:13">
      <c r="B85" s="67"/>
      <c r="C85" s="68"/>
      <c r="D85" s="69"/>
      <c r="E85" s="73">
        <f t="shared" si="13"/>
        <v>1.7</v>
      </c>
      <c r="F85" s="71">
        <v>1.8</v>
      </c>
      <c r="G85" s="94">
        <v>13.5</v>
      </c>
      <c r="H85" s="72">
        <f t="shared" si="12"/>
        <v>0.69018404907975461</v>
      </c>
      <c r="I85" s="86">
        <v>32.25</v>
      </c>
      <c r="J85" s="86">
        <v>1.0900000000000001</v>
      </c>
      <c r="K85" s="86">
        <v>16.420000000000002</v>
      </c>
      <c r="L85" s="86">
        <v>2.0099999999999998</v>
      </c>
      <c r="M85" s="102">
        <v>0.5</v>
      </c>
    </row>
    <row r="86" spans="2:13">
      <c r="B86" s="67"/>
      <c r="C86" s="68"/>
      <c r="D86" s="69"/>
      <c r="E86" s="73">
        <f t="shared" si="13"/>
        <v>1.8</v>
      </c>
      <c r="F86" s="71">
        <v>2</v>
      </c>
      <c r="G86" s="94">
        <v>14.1</v>
      </c>
      <c r="H86" s="72">
        <f t="shared" si="12"/>
        <v>0.72085889570552153</v>
      </c>
      <c r="I86" s="86">
        <v>41.74</v>
      </c>
      <c r="J86" s="86">
        <v>1.1299999999999999</v>
      </c>
      <c r="K86" s="86">
        <v>16.12</v>
      </c>
      <c r="L86" s="86">
        <v>2.59</v>
      </c>
      <c r="M86" s="102">
        <v>0</v>
      </c>
    </row>
    <row r="87" spans="2:13">
      <c r="B87" s="67"/>
      <c r="C87" s="68"/>
      <c r="D87" s="69"/>
      <c r="E87" s="73">
        <f t="shared" si="13"/>
        <v>2</v>
      </c>
      <c r="F87" s="71">
        <v>2.2000000000000002</v>
      </c>
      <c r="G87" s="94">
        <v>8.9</v>
      </c>
      <c r="H87" s="72">
        <f t="shared" si="12"/>
        <v>0.45501022494887527</v>
      </c>
      <c r="I87" s="86">
        <v>52.1</v>
      </c>
      <c r="J87" s="86">
        <v>1.1000000000000001</v>
      </c>
      <c r="K87" s="86">
        <v>18.010000000000002</v>
      </c>
      <c r="L87" s="86">
        <v>2.82</v>
      </c>
      <c r="M87" s="102">
        <v>0</v>
      </c>
    </row>
    <row r="88" spans="2:13">
      <c r="B88" s="67"/>
      <c r="C88" s="68"/>
      <c r="D88" s="69"/>
      <c r="E88" s="73">
        <f t="shared" si="13"/>
        <v>2.2000000000000002</v>
      </c>
      <c r="F88" s="71">
        <v>2.8</v>
      </c>
      <c r="G88" s="94">
        <v>50.6</v>
      </c>
      <c r="H88" s="72">
        <f t="shared" si="12"/>
        <v>2.5869120654396731</v>
      </c>
      <c r="I88" s="86">
        <v>70.64</v>
      </c>
      <c r="J88" s="86">
        <v>0.61</v>
      </c>
      <c r="K88" s="86">
        <v>21.58</v>
      </c>
      <c r="L88" s="86">
        <v>6.35</v>
      </c>
      <c r="M88" s="102">
        <v>0</v>
      </c>
    </row>
    <row r="89" spans="2:13">
      <c r="B89" s="138" t="s">
        <v>72</v>
      </c>
      <c r="C89" s="139"/>
      <c r="D89" s="139"/>
      <c r="E89" s="74"/>
      <c r="F89" s="75"/>
      <c r="G89" s="76">
        <f>SUM(G75:G88)</f>
        <v>1956</v>
      </c>
      <c r="H89" s="77">
        <f>SUM(H75:H88)</f>
        <v>100.00000000000001</v>
      </c>
      <c r="I89" s="78">
        <f>SUMPRODUCT($H$75:$H$88,I75:I88)/$H$89</f>
        <v>10.285112474437625</v>
      </c>
      <c r="J89" s="78">
        <f>SUMPRODUCT($H$75:$H$88,J75:J88)/$H$89</f>
        <v>0.73327914110429426</v>
      </c>
      <c r="K89" s="78">
        <f>SUMPRODUCT($H$75:$H$88,K75:K88)/$H$89</f>
        <v>21.888394683026572</v>
      </c>
      <c r="L89" s="78">
        <f t="shared" ref="L89" si="14">SUMPRODUCT($H$75:$H$88,L75:L88)/$H$89</f>
        <v>0.7807004089979549</v>
      </c>
      <c r="M89" s="87">
        <f>SUMPRODUCT($H$75:$H$88,M75:M88)/$H$89</f>
        <v>6.107796523517381</v>
      </c>
    </row>
  </sheetData>
  <mergeCells count="14">
    <mergeCell ref="B57:D57"/>
    <mergeCell ref="B73:D73"/>
    <mergeCell ref="B89:D89"/>
    <mergeCell ref="G7:M7"/>
    <mergeCell ref="B8:C8"/>
    <mergeCell ref="E8:F8"/>
    <mergeCell ref="G8:H8"/>
    <mergeCell ref="B25:D25"/>
    <mergeCell ref="B41:D41"/>
    <mergeCell ref="E1:G1"/>
    <mergeCell ref="E2:G2"/>
    <mergeCell ref="E3:G3"/>
    <mergeCell ref="E4:G4"/>
    <mergeCell ref="E5:G5"/>
  </mergeCells>
  <pageMargins left="0.7" right="0.7" top="0.75" bottom="0.75" header="0.3" footer="0.3"/>
  <pageSetup paperSize="9" scale="53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"/>
  <sheetViews>
    <sheetView showGridLines="0" view="pageBreakPreview" zoomScale="90" zoomScaleSheetLayoutView="90" workbookViewId="0">
      <selection activeCell="H35" sqref="H35"/>
    </sheetView>
  </sheetViews>
  <sheetFormatPr defaultRowHeight="15"/>
  <cols>
    <col min="1" max="1" width="5.7109375" customWidth="1"/>
    <col min="6" max="6" width="10.42578125" bestFit="1" customWidth="1"/>
    <col min="11" max="11" width="13.140625" bestFit="1" customWidth="1"/>
  </cols>
  <sheetData>
    <row r="1" spans="2:12">
      <c r="B1" s="1" t="s">
        <v>0</v>
      </c>
      <c r="C1" s="1"/>
      <c r="D1" s="153" t="str">
        <f>'Raw Coal analysis'!C1</f>
        <v>PR9_B19_3AL</v>
      </c>
      <c r="E1" s="153"/>
      <c r="F1" s="153"/>
    </row>
    <row r="2" spans="2:12">
      <c r="B2" s="1" t="s">
        <v>1</v>
      </c>
      <c r="C2" s="1"/>
      <c r="D2" s="89" t="s">
        <v>81</v>
      </c>
      <c r="E2" s="8"/>
      <c r="F2" s="8"/>
    </row>
    <row r="3" spans="2:12">
      <c r="B3" s="1" t="s">
        <v>2</v>
      </c>
      <c r="C3" s="1"/>
      <c r="D3" s="153" t="str">
        <f>'Raw Coal analysis'!C3</f>
        <v>2019.10.10</v>
      </c>
      <c r="E3" s="153"/>
      <c r="F3" s="153"/>
    </row>
    <row r="4" spans="2:12">
      <c r="B4" s="1" t="s">
        <v>3</v>
      </c>
      <c r="C4" s="1"/>
      <c r="D4" s="153" t="str">
        <f>'Raw Coal analysis'!C4</f>
        <v>Process team</v>
      </c>
      <c r="E4" s="153"/>
      <c r="F4" s="153"/>
    </row>
    <row r="5" spans="2:12">
      <c r="B5" s="1" t="s">
        <v>4</v>
      </c>
      <c r="C5" s="1"/>
      <c r="D5" s="153" t="str">
        <f>'Raw Coal analysis'!C5</f>
        <v>2019.10.04</v>
      </c>
      <c r="E5" s="153"/>
      <c r="F5" s="153"/>
    </row>
    <row r="7" spans="2:12" ht="45">
      <c r="B7" s="147" t="s">
        <v>58</v>
      </c>
      <c r="C7" s="148"/>
      <c r="D7" s="47" t="s">
        <v>59</v>
      </c>
      <c r="E7" s="48" t="s">
        <v>82</v>
      </c>
      <c r="F7" s="149" t="s">
        <v>61</v>
      </c>
      <c r="G7" s="150"/>
      <c r="H7" s="36" t="s">
        <v>10</v>
      </c>
      <c r="I7" s="36" t="s">
        <v>62</v>
      </c>
      <c r="J7" s="36" t="s">
        <v>93</v>
      </c>
      <c r="K7" s="36" t="s">
        <v>14</v>
      </c>
      <c r="L7" s="36" t="s">
        <v>63</v>
      </c>
    </row>
    <row r="8" spans="2:12">
      <c r="B8" s="37"/>
      <c r="C8" s="37"/>
      <c r="D8" s="37"/>
      <c r="E8" s="37"/>
      <c r="F8" s="37" t="s">
        <v>66</v>
      </c>
      <c r="G8" s="37" t="s">
        <v>67</v>
      </c>
      <c r="H8" s="37" t="s">
        <v>67</v>
      </c>
      <c r="I8" s="37" t="s">
        <v>68</v>
      </c>
      <c r="J8" s="37" t="s">
        <v>69</v>
      </c>
      <c r="K8" s="37"/>
      <c r="L8" s="37"/>
    </row>
    <row r="9" spans="2:12">
      <c r="B9" s="38" t="s">
        <v>83</v>
      </c>
      <c r="C9" s="39" t="s">
        <v>84</v>
      </c>
      <c r="D9" s="40"/>
      <c r="E9" s="41"/>
      <c r="F9" s="104">
        <v>350</v>
      </c>
      <c r="G9" s="41"/>
      <c r="H9" s="41"/>
      <c r="I9" s="41"/>
      <c r="J9" s="41"/>
      <c r="K9" s="41"/>
      <c r="L9" s="41"/>
    </row>
    <row r="10" spans="2:12">
      <c r="B10" s="42"/>
      <c r="C10" s="43"/>
      <c r="D10" s="44"/>
      <c r="E10" s="44" t="s">
        <v>85</v>
      </c>
      <c r="F10" s="94">
        <v>142.6</v>
      </c>
      <c r="G10" s="72">
        <f>F10/$F$16*100</f>
        <v>40.78947368421052</v>
      </c>
      <c r="H10" s="86">
        <v>8.75</v>
      </c>
      <c r="I10" s="86">
        <v>0.81</v>
      </c>
      <c r="J10" s="86">
        <v>21.99</v>
      </c>
      <c r="K10" s="86">
        <v>0.93</v>
      </c>
      <c r="L10" s="102">
        <v>8.5</v>
      </c>
    </row>
    <row r="11" spans="2:12">
      <c r="B11" s="42"/>
      <c r="C11" s="43"/>
      <c r="D11" s="44"/>
      <c r="E11" s="44" t="s">
        <v>86</v>
      </c>
      <c r="F11" s="94">
        <v>122</v>
      </c>
      <c r="G11" s="72">
        <f>F11/$F$16*100</f>
        <v>34.897025171624712</v>
      </c>
      <c r="H11" s="86">
        <v>10.67</v>
      </c>
      <c r="I11" s="86">
        <v>0.49</v>
      </c>
      <c r="J11" s="86">
        <v>21.22</v>
      </c>
      <c r="K11" s="86">
        <v>0.92</v>
      </c>
      <c r="L11" s="102">
        <v>7.5</v>
      </c>
    </row>
    <row r="12" spans="2:12">
      <c r="B12" s="42"/>
      <c r="C12" s="43"/>
      <c r="D12" s="44"/>
      <c r="E12" s="44" t="s">
        <v>87</v>
      </c>
      <c r="F12" s="94">
        <v>55.8</v>
      </c>
      <c r="G12" s="72">
        <f>F12/$F$16*100</f>
        <v>15.961098398169336</v>
      </c>
      <c r="H12" s="86">
        <v>11.5</v>
      </c>
      <c r="I12" s="86">
        <v>0.89</v>
      </c>
      <c r="J12" s="86">
        <v>21.05</v>
      </c>
      <c r="K12" s="86">
        <v>1.1100000000000001</v>
      </c>
      <c r="L12" s="102">
        <v>7</v>
      </c>
    </row>
    <row r="13" spans="2:12">
      <c r="B13" s="42"/>
      <c r="C13" s="43"/>
      <c r="D13" s="44"/>
      <c r="E13" s="44" t="s">
        <v>88</v>
      </c>
      <c r="F13" s="94">
        <v>6.4</v>
      </c>
      <c r="G13" s="72">
        <f>F13/$F$16*100</f>
        <v>1.8306636155606408</v>
      </c>
      <c r="H13" s="86">
        <v>21.19</v>
      </c>
      <c r="I13" s="86">
        <v>0.75</v>
      </c>
      <c r="J13" s="86" t="s">
        <v>9</v>
      </c>
      <c r="K13" s="86">
        <v>2.5</v>
      </c>
      <c r="L13" s="102">
        <v>1.5</v>
      </c>
    </row>
    <row r="14" spans="2:12">
      <c r="B14" s="42"/>
      <c r="C14" s="43"/>
      <c r="D14" s="44"/>
      <c r="E14" s="44" t="s">
        <v>89</v>
      </c>
      <c r="F14" s="94">
        <v>20.100000000000001</v>
      </c>
      <c r="G14" s="72">
        <f t="shared" ref="G14" si="0">F14/$F$16*100</f>
        <v>5.7494279176201379</v>
      </c>
      <c r="H14" s="86">
        <v>55.73</v>
      </c>
      <c r="I14" s="86">
        <v>0.61</v>
      </c>
      <c r="J14" s="86">
        <v>17.8</v>
      </c>
      <c r="K14" s="86">
        <v>2.4</v>
      </c>
      <c r="L14" s="102">
        <v>1</v>
      </c>
    </row>
    <row r="15" spans="2:12">
      <c r="B15" s="42"/>
      <c r="C15" s="43"/>
      <c r="D15" s="44"/>
      <c r="E15" s="44" t="s">
        <v>90</v>
      </c>
      <c r="F15" s="94">
        <v>2.7</v>
      </c>
      <c r="G15" s="72">
        <f>F15/$F$16*100</f>
        <v>0.77231121281464532</v>
      </c>
      <c r="H15" s="86">
        <v>46.15</v>
      </c>
      <c r="I15" s="86">
        <v>0.83</v>
      </c>
      <c r="J15" s="86" t="s">
        <v>9</v>
      </c>
      <c r="K15" s="86" t="s">
        <v>9</v>
      </c>
      <c r="L15" s="102" t="s">
        <v>9</v>
      </c>
    </row>
    <row r="16" spans="2:12">
      <c r="B16" s="151" t="s">
        <v>72</v>
      </c>
      <c r="C16" s="152"/>
      <c r="D16" s="152"/>
      <c r="E16" s="45"/>
      <c r="F16" s="49">
        <f>SUM(F10:F15)</f>
        <v>349.6</v>
      </c>
      <c r="G16" s="46">
        <f>SUM(G10:G15)</f>
        <v>99.999999999999986</v>
      </c>
      <c r="H16" s="103">
        <f>SUMPRODUCT($G$10:$G$15,H10:H15)/$G$16</f>
        <v>13.076613272311217</v>
      </c>
      <c r="I16" s="103">
        <f t="shared" ref="I16:L16" si="1">SUMPRODUCT($G$10:$G$15,I10:I15)/$G$16</f>
        <v>0.6986556064073226</v>
      </c>
      <c r="J16" s="103">
        <f t="shared" si="1"/>
        <v>20.757963386727692</v>
      </c>
      <c r="K16" s="135">
        <f>SUMPRODUCT($G$10:$G$15,K10:K15)/$G$16</f>
        <v>1.0613157894736842</v>
      </c>
      <c r="L16" s="135">
        <f t="shared" si="1"/>
        <v>7.2866132723112127</v>
      </c>
    </row>
  </sheetData>
  <mergeCells count="7">
    <mergeCell ref="B7:C7"/>
    <mergeCell ref="F7:G7"/>
    <mergeCell ref="B16:D16"/>
    <mergeCell ref="D1:F1"/>
    <mergeCell ref="D3:F3"/>
    <mergeCell ref="D4:F4"/>
    <mergeCell ref="D5:F5"/>
  </mergeCells>
  <pageMargins left="0.7" right="0.7" top="0.75" bottom="0.75" header="0.3" footer="0.3"/>
  <pageSetup paperSize="9" scale="78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showGridLines="0" view="pageBreakPreview" zoomScale="110" zoomScaleSheetLayoutView="110" workbookViewId="0">
      <selection activeCell="C11" sqref="C11"/>
    </sheetView>
  </sheetViews>
  <sheetFormatPr defaultRowHeight="15"/>
  <cols>
    <col min="1" max="1" width="5.28515625" customWidth="1"/>
    <col min="2" max="2" width="24.85546875" customWidth="1"/>
    <col min="3" max="3" width="32.85546875" customWidth="1"/>
    <col min="4" max="4" width="15.5703125" customWidth="1"/>
    <col min="6" max="7" width="10.7109375" bestFit="1" customWidth="1"/>
  </cols>
  <sheetData>
    <row r="1" spans="2:10">
      <c r="B1" s="1" t="s">
        <v>0</v>
      </c>
      <c r="C1" t="str">
        <f>'Raw Coal analysis'!C1</f>
        <v>PR9_B19_3AL</v>
      </c>
    </row>
    <row r="2" spans="2:10">
      <c r="B2" s="1" t="s">
        <v>1</v>
      </c>
      <c r="C2" t="s">
        <v>95</v>
      </c>
    </row>
    <row r="3" spans="2:10">
      <c r="B3" s="1" t="s">
        <v>2</v>
      </c>
      <c r="C3" t="str">
        <f>'Raw Coal analysis'!C3</f>
        <v>2019.10.10</v>
      </c>
    </row>
    <row r="4" spans="2:10">
      <c r="B4" s="1" t="s">
        <v>3</v>
      </c>
      <c r="C4" s="106" t="str">
        <f>'Raw Coal analysis'!C4</f>
        <v>Process team</v>
      </c>
    </row>
    <row r="5" spans="2:10">
      <c r="B5" s="1" t="s">
        <v>4</v>
      </c>
      <c r="C5" t="str">
        <f>'Raw Coal analysis'!C5</f>
        <v>2019.10.04</v>
      </c>
    </row>
    <row r="8" spans="2:10">
      <c r="B8" s="50" t="s">
        <v>5</v>
      </c>
      <c r="C8" s="51">
        <v>28</v>
      </c>
      <c r="D8" s="4"/>
      <c r="E8" s="4"/>
      <c r="F8" s="4"/>
      <c r="G8" s="4"/>
      <c r="H8" s="4"/>
      <c r="I8" s="4"/>
      <c r="J8" s="4"/>
    </row>
    <row r="9" spans="2:10">
      <c r="B9" s="50" t="s">
        <v>6</v>
      </c>
      <c r="C9" s="132"/>
      <c r="E9" s="6"/>
      <c r="F9" s="6"/>
    </row>
    <row r="10" spans="2:10">
      <c r="B10" s="50" t="s">
        <v>7</v>
      </c>
      <c r="C10" s="132"/>
    </row>
    <row r="11" spans="2:10">
      <c r="B11" s="50" t="s">
        <v>8</v>
      </c>
      <c r="C11" s="132"/>
    </row>
    <row r="12" spans="2:10">
      <c r="B12" s="50" t="s">
        <v>10</v>
      </c>
      <c r="C12" s="132"/>
    </row>
    <row r="13" spans="2:10">
      <c r="B13" s="50" t="s">
        <v>11</v>
      </c>
      <c r="C13" s="132"/>
    </row>
    <row r="14" spans="2:10">
      <c r="B14" s="50" t="s">
        <v>12</v>
      </c>
      <c r="C14" s="133"/>
    </row>
    <row r="15" spans="2:10">
      <c r="B15" s="50" t="s">
        <v>13</v>
      </c>
      <c r="C15" s="134"/>
    </row>
    <row r="16" spans="2:10">
      <c r="B16" s="50" t="s">
        <v>14</v>
      </c>
      <c r="C16" s="132"/>
    </row>
    <row r="17" spans="2:3">
      <c r="B17" s="50" t="s">
        <v>94</v>
      </c>
      <c r="C17" s="132"/>
    </row>
    <row r="18" spans="2:3">
      <c r="B18" s="8"/>
    </row>
    <row r="20" spans="2:3">
      <c r="B20" s="9" t="s">
        <v>15</v>
      </c>
    </row>
    <row r="21" spans="2:3" ht="29.45" customHeight="1">
      <c r="B21" s="52" t="s">
        <v>16</v>
      </c>
      <c r="C21" s="3"/>
    </row>
    <row r="22" spans="2:3">
      <c r="B22" s="50" t="s">
        <v>17</v>
      </c>
      <c r="C22" s="5"/>
    </row>
    <row r="23" spans="2:3">
      <c r="B23" s="11"/>
      <c r="C23" s="5"/>
    </row>
    <row r="24" spans="2:3">
      <c r="B24" s="50" t="s">
        <v>18</v>
      </c>
      <c r="C24" s="7"/>
    </row>
    <row r="25" spans="2:3">
      <c r="B25" s="50" t="s">
        <v>19</v>
      </c>
      <c r="C25" s="7"/>
    </row>
    <row r="26" spans="2:3">
      <c r="B26" s="50" t="s">
        <v>20</v>
      </c>
      <c r="C26" s="5"/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'Froth Flotation'!Print_Area</vt:lpstr>
      <vt:lpstr>Pretreatment!Print_Area</vt:lpstr>
      <vt:lpstr>'Raw Coal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Otgonbaatar Jargal</cp:lastModifiedBy>
  <cp:lastPrinted>2019-08-29T07:37:14Z</cp:lastPrinted>
  <dcterms:created xsi:type="dcterms:W3CDTF">2015-06-05T18:17:20Z</dcterms:created>
  <dcterms:modified xsi:type="dcterms:W3CDTF">2019-10-11T09:16:44Z</dcterms:modified>
</cp:coreProperties>
</file>