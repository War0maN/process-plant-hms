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ECHNICAL SERVICES\10.0 PROCESS\4. RAW Coal Quality\1. WASHABILITY\Wet tumbler - washability report\PR6_B5_0CL1\"/>
    </mc:Choice>
  </mc:AlternateContent>
  <bookViews>
    <workbookView xWindow="0" yWindow="0" windowWidth="28800" windowHeight="12330" activeTab="3"/>
  </bookViews>
  <sheets>
    <sheet name="Raw Coal analysis" sheetId="3" r:id="rId1"/>
    <sheet name="Pretreatment" sheetId="4" r:id="rId2"/>
    <sheet name="Float sink" sheetId="5" r:id="rId3"/>
    <sheet name="Froth Flotation" sheetId="6" r:id="rId4"/>
    <sheet name="Composite Product Analysis " sheetId="7" r:id="rId5"/>
  </sheets>
  <definedNames>
    <definedName name="\Convergence">"1000000.000000"</definedName>
    <definedName name="\IterationCount">0</definedName>
    <definedName name="\WorstStream">" "</definedName>
    <definedName name="_xlnm.Print_Area" localSheetId="4">'Composite Product Analysis '!$A$1:$D$29</definedName>
    <definedName name="_xlnm.Print_Area" localSheetId="2">'Float sink'!$A$1:$M$90</definedName>
    <definedName name="_xlnm.Print_Area" localSheetId="3">'Froth Flotation'!$A$1:$L$18</definedName>
    <definedName name="_xlnm.Print_Area" localSheetId="1">Pretreatment!$A$1:$K$51</definedName>
    <definedName name="_xlnm.Print_Area" localSheetId="0">'Raw Coal analysis'!$A$1:$C$28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39" i="5" l="1"/>
  <c r="S39" i="5"/>
  <c r="Q41" i="5"/>
  <c r="O41" i="5"/>
  <c r="M34" i="4" l="1"/>
  <c r="M35" i="4"/>
  <c r="M36" i="4"/>
  <c r="M37" i="4"/>
  <c r="M38" i="4"/>
  <c r="M39" i="4"/>
  <c r="M40" i="4"/>
  <c r="M41" i="4"/>
  <c r="M42" i="4"/>
  <c r="M43" i="4"/>
  <c r="M44" i="4"/>
  <c r="M33" i="4"/>
  <c r="D45" i="4" l="1"/>
  <c r="E45" i="4" s="1"/>
  <c r="D26" i="4"/>
  <c r="C3" i="7" l="1"/>
  <c r="G73" i="5"/>
  <c r="E3" i="5" l="1"/>
  <c r="G25" i="5" l="1"/>
  <c r="G41" i="5"/>
  <c r="H27" i="5" s="1"/>
  <c r="H11" i="5" l="1"/>
  <c r="H12" i="5"/>
  <c r="H23" i="5"/>
  <c r="H24" i="5"/>
  <c r="C4" i="7"/>
  <c r="C5" i="7"/>
  <c r="D28" i="4"/>
  <c r="D29" i="4"/>
  <c r="D47" i="4"/>
  <c r="D12" i="4" l="1"/>
  <c r="D15" i="4" s="1"/>
  <c r="D14" i="4"/>
  <c r="E10" i="4" s="1"/>
  <c r="E11" i="4" l="1"/>
  <c r="D48" i="4" l="1"/>
  <c r="E33" i="4" l="1"/>
  <c r="F16" i="6" l="1"/>
  <c r="D4" i="6"/>
  <c r="D5" i="6"/>
  <c r="D3" i="6"/>
  <c r="D1" i="6"/>
  <c r="E4" i="5"/>
  <c r="E5" i="5"/>
  <c r="E1" i="5"/>
  <c r="C5" i="4"/>
  <c r="C6" i="4"/>
  <c r="C4" i="4"/>
  <c r="C2" i="4"/>
  <c r="G10" i="6" l="1"/>
  <c r="G12" i="6"/>
  <c r="G13" i="6"/>
  <c r="G14" i="6"/>
  <c r="G11" i="6"/>
  <c r="G15" i="6"/>
  <c r="G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G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41" i="4"/>
  <c r="E48" i="4"/>
  <c r="E25" i="4"/>
  <c r="E29" i="4"/>
  <c r="E14" i="4"/>
  <c r="H85" i="5" l="1"/>
  <c r="H88" i="5"/>
  <c r="H84" i="5"/>
  <c r="H86" i="5"/>
  <c r="H87" i="5"/>
  <c r="H83" i="5"/>
  <c r="H20" i="5"/>
  <c r="H21" i="5"/>
  <c r="H22" i="5"/>
  <c r="G16" i="6"/>
  <c r="K16" i="6" s="1"/>
  <c r="H77" i="5"/>
  <c r="H81" i="5"/>
  <c r="H75" i="5"/>
  <c r="H78" i="5"/>
  <c r="H82" i="5"/>
  <c r="H79" i="5"/>
  <c r="H76" i="5"/>
  <c r="H80" i="5"/>
  <c r="H63" i="5"/>
  <c r="H60" i="5"/>
  <c r="H64" i="5"/>
  <c r="H68" i="5"/>
  <c r="H72" i="5"/>
  <c r="H61" i="5"/>
  <c r="H65" i="5"/>
  <c r="H69" i="5"/>
  <c r="H59" i="5"/>
  <c r="H62" i="5"/>
  <c r="H66" i="5"/>
  <c r="H70" i="5"/>
  <c r="H67" i="5"/>
  <c r="H71" i="5"/>
  <c r="H46" i="5"/>
  <c r="H50" i="5"/>
  <c r="H54" i="5"/>
  <c r="H47" i="5"/>
  <c r="H51" i="5"/>
  <c r="H55" i="5"/>
  <c r="H44" i="5"/>
  <c r="H48" i="5"/>
  <c r="H52" i="5"/>
  <c r="H56" i="5"/>
  <c r="H45" i="5"/>
  <c r="H49" i="5"/>
  <c r="H53" i="5"/>
  <c r="H43" i="5"/>
  <c r="H30" i="5"/>
  <c r="H34" i="5"/>
  <c r="H31" i="5"/>
  <c r="H35" i="5"/>
  <c r="H39" i="5"/>
  <c r="H28" i="5"/>
  <c r="H32" i="5"/>
  <c r="H36" i="5"/>
  <c r="H40" i="5"/>
  <c r="H29" i="5"/>
  <c r="H33" i="5"/>
  <c r="H37" i="5"/>
  <c r="H38" i="5"/>
  <c r="E12" i="4"/>
  <c r="E15" i="4"/>
  <c r="E38" i="4"/>
  <c r="E39" i="4"/>
  <c r="E42" i="4"/>
  <c r="E35" i="4"/>
  <c r="E22" i="4"/>
  <c r="E34" i="4"/>
  <c r="E43" i="4"/>
  <c r="E21" i="4"/>
  <c r="E19" i="4"/>
  <c r="E23" i="4"/>
  <c r="E28" i="4"/>
  <c r="E20" i="4"/>
  <c r="E24" i="4"/>
  <c r="H15" i="5"/>
  <c r="H19" i="5"/>
  <c r="E26" i="4"/>
  <c r="E36" i="4"/>
  <c r="E40" i="4"/>
  <c r="E44" i="4"/>
  <c r="E47" i="4"/>
  <c r="H13" i="5"/>
  <c r="H17" i="5"/>
  <c r="E37" i="4"/>
  <c r="H14" i="5"/>
  <c r="H16" i="5"/>
  <c r="H18" i="5"/>
  <c r="I16" i="6" l="1"/>
  <c r="H73" i="5"/>
  <c r="L73" i="5" s="1"/>
  <c r="H41" i="5"/>
  <c r="H25" i="5"/>
  <c r="H16" i="6"/>
  <c r="L16" i="6"/>
  <c r="J16" i="6"/>
  <c r="H57" i="5"/>
  <c r="I57" i="5" s="1"/>
  <c r="H89" i="5"/>
  <c r="M89" i="5" s="1"/>
  <c r="J25" i="5" l="1"/>
  <c r="M25" i="5"/>
  <c r="L41" i="5"/>
  <c r="M41" i="5"/>
  <c r="K25" i="5"/>
  <c r="I25" i="5"/>
  <c r="I89" i="5"/>
  <c r="J89" i="5"/>
  <c r="J73" i="5"/>
  <c r="I41" i="5"/>
  <c r="J41" i="5"/>
  <c r="K41" i="5"/>
  <c r="M73" i="5"/>
  <c r="L89" i="5"/>
  <c r="K73" i="5"/>
  <c r="K89" i="5"/>
  <c r="I73" i="5"/>
  <c r="M57" i="5"/>
  <c r="L57" i="5"/>
  <c r="J57" i="5"/>
  <c r="L25" i="5"/>
  <c r="K57" i="5"/>
</calcChain>
</file>

<file path=xl/sharedStrings.xml><?xml version="1.0" encoding="utf-8"?>
<sst xmlns="http://schemas.openxmlformats.org/spreadsheetml/2006/main" count="208" uniqueCount="101">
  <si>
    <t>Sample Name:</t>
  </si>
  <si>
    <t>Sample Description:</t>
  </si>
  <si>
    <t>Reported date:</t>
  </si>
  <si>
    <t>Reported to:</t>
  </si>
  <si>
    <t>Sampled date:</t>
  </si>
  <si>
    <t xml:space="preserve">Sample ID </t>
  </si>
  <si>
    <t xml:space="preserve">Initial Mass, kg </t>
  </si>
  <si>
    <t>TM, %</t>
  </si>
  <si>
    <t xml:space="preserve">IM, % </t>
  </si>
  <si>
    <t>-</t>
  </si>
  <si>
    <t>Ash, ad %</t>
  </si>
  <si>
    <t>Vol, ad, %</t>
  </si>
  <si>
    <t xml:space="preserve">CSN, </t>
  </si>
  <si>
    <t xml:space="preserve">G index </t>
  </si>
  <si>
    <t>Sulphur, ad %</t>
  </si>
  <si>
    <t xml:space="preserve">Petrograph </t>
  </si>
  <si>
    <t>Mean Maximum Reflactance (RoMax )</t>
  </si>
  <si>
    <t xml:space="preserve">Random Reflactance </t>
  </si>
  <si>
    <t xml:space="preserve">Vitrinite </t>
  </si>
  <si>
    <t xml:space="preserve">Liptinite </t>
  </si>
  <si>
    <t xml:space="preserve">Inertinite </t>
  </si>
  <si>
    <t xml:space="preserve">Dry and Wet Sizing </t>
  </si>
  <si>
    <r>
      <t xml:space="preserve">Жингээр унагах туршилтын дараах шигшилт: </t>
    </r>
    <r>
      <rPr>
        <i/>
        <sz val="11"/>
        <color theme="1"/>
        <rFont val="0 Arial "/>
        <family val="2"/>
        <charset val="204"/>
      </rPr>
      <t xml:space="preserve">2 метр, 15 удаа </t>
    </r>
  </si>
  <si>
    <t xml:space="preserve">Шигшүүр, мм </t>
  </si>
  <si>
    <t xml:space="preserve">Масс, кг </t>
  </si>
  <si>
    <t>Масс, %</t>
  </si>
  <si>
    <t>Анхдагч масс</t>
  </si>
  <si>
    <t>+50мм</t>
  </si>
  <si>
    <t>-50мм</t>
  </si>
  <si>
    <t>Массын алдагдал</t>
  </si>
  <si>
    <t>Нийт масс, (массын алдагдалгүй):</t>
  </si>
  <si>
    <t xml:space="preserve">Нийт масс: </t>
  </si>
  <si>
    <t xml:space="preserve">Хуурай тамблер &amp; гараар бутлах (+50мм):  </t>
  </si>
  <si>
    <t>+31.5мм</t>
  </si>
  <si>
    <t>-31.5мм</t>
  </si>
  <si>
    <t>+16мм</t>
  </si>
  <si>
    <t>-16мм</t>
  </si>
  <si>
    <t>+8мм</t>
  </si>
  <si>
    <t>-8мм</t>
  </si>
  <si>
    <t>+4.75мм</t>
  </si>
  <si>
    <t>-4.75мм</t>
  </si>
  <si>
    <t>+2мм</t>
  </si>
  <si>
    <t>-2мм</t>
  </si>
  <si>
    <t>+1мм</t>
  </si>
  <si>
    <t>-1мм</t>
  </si>
  <si>
    <t>0мм</t>
  </si>
  <si>
    <t xml:space="preserve">Нойтон тамблер:  </t>
  </si>
  <si>
    <t>+0.5мм</t>
  </si>
  <si>
    <t>-0.5мм</t>
  </si>
  <si>
    <t>+0.25мм</t>
  </si>
  <si>
    <t>-0.25мм</t>
  </si>
  <si>
    <t>+0.15мм</t>
  </si>
  <si>
    <t>-0.15мм</t>
  </si>
  <si>
    <t>+0.074мм</t>
  </si>
  <si>
    <t>-0.074мм</t>
  </si>
  <si>
    <t>+0.038мм</t>
  </si>
  <si>
    <t>-0.038мм</t>
  </si>
  <si>
    <t>Individual</t>
  </si>
  <si>
    <t xml:space="preserve">Size Fraction, mm </t>
  </si>
  <si>
    <t xml:space="preserve">Mass % of overall </t>
  </si>
  <si>
    <t xml:space="preserve">Density Fraction </t>
  </si>
  <si>
    <t xml:space="preserve">Mass </t>
  </si>
  <si>
    <t xml:space="preserve">IM, </t>
  </si>
  <si>
    <t xml:space="preserve">CSN </t>
  </si>
  <si>
    <t xml:space="preserve">Sink </t>
  </si>
  <si>
    <t xml:space="preserve">Float </t>
  </si>
  <si>
    <t xml:space="preserve">gram  </t>
  </si>
  <si>
    <t>(%)</t>
  </si>
  <si>
    <t>%</t>
  </si>
  <si>
    <t xml:space="preserve">% </t>
  </si>
  <si>
    <t>-50</t>
  </si>
  <si>
    <t>+16</t>
  </si>
  <si>
    <t xml:space="preserve">Total </t>
  </si>
  <si>
    <t>-16</t>
  </si>
  <si>
    <t>+8</t>
  </si>
  <si>
    <t>-8</t>
  </si>
  <si>
    <t>+2</t>
  </si>
  <si>
    <t>-2</t>
  </si>
  <si>
    <t>+0.5</t>
  </si>
  <si>
    <t>-0.5</t>
  </si>
  <si>
    <t>+0.25</t>
  </si>
  <si>
    <t xml:space="preserve">-0.25мм Froth Flotation </t>
  </si>
  <si>
    <t>fraction</t>
  </si>
  <si>
    <t>-0.25</t>
  </si>
  <si>
    <t>+0</t>
  </si>
  <si>
    <t>C1</t>
  </si>
  <si>
    <t>C2</t>
  </si>
  <si>
    <t>C3</t>
  </si>
  <si>
    <t>C4</t>
  </si>
  <si>
    <t>T1</t>
  </si>
  <si>
    <t>T2</t>
  </si>
  <si>
    <t>Initial</t>
  </si>
  <si>
    <t>Float and Sink</t>
  </si>
  <si>
    <t xml:space="preserve">Vol, ad % </t>
  </si>
  <si>
    <t>TRD, ad %</t>
  </si>
  <si>
    <t xml:space="preserve">Composite Product Analysis </t>
  </si>
  <si>
    <t>Process team</t>
  </si>
  <si>
    <t>2019.10.30</t>
  </si>
  <si>
    <t>PR6_B5_0CL1</t>
  </si>
  <si>
    <t>2019.11.07</t>
  </si>
  <si>
    <t>IM,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</si>
</sst>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_);_(* \(#,##0.0\);_(* &quot;-&quot;??_);_(@_)"/>
    <numFmt numFmtId="167" formatCode="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0 Arial "/>
      <family val="2"/>
      <charset val="204"/>
    </font>
    <font>
      <b/>
      <sz val="11"/>
      <color theme="1"/>
      <name val="0 Arial "/>
      <family val="2"/>
      <charset val="204"/>
    </font>
    <font>
      <i/>
      <sz val="11"/>
      <color theme="1"/>
      <name val="0 Arial "/>
      <family val="2"/>
      <charset val="204"/>
    </font>
    <font>
      <b/>
      <u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FF"/>
      <name val="Arial"/>
      <family val="2"/>
    </font>
    <font>
      <sz val="11"/>
      <color rgb="FF0000FF"/>
      <name val="Calibri"/>
      <family val="2"/>
      <scheme val="minor"/>
    </font>
    <font>
      <b/>
      <sz val="10"/>
      <name val="Arial"/>
      <family val="2"/>
    </font>
    <font>
      <sz val="11"/>
      <color rgb="FF0000FF"/>
      <name val="0 Arial 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164" fontId="3" fillId="0" borderId="0" xfId="1" applyNumberFormat="1" applyFont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5" xfId="0" quotePrefix="1" applyFont="1" applyBorder="1" applyAlignment="1">
      <alignment horizontal="right"/>
    </xf>
    <xf numFmtId="0" fontId="3" fillId="0" borderId="6" xfId="0" quotePrefix="1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164" fontId="3" fillId="0" borderId="2" xfId="1" applyNumberFormat="1" applyFont="1" applyBorder="1" applyAlignment="1">
      <alignment horizontal="center" vertical="center"/>
    </xf>
    <xf numFmtId="0" fontId="3" fillId="0" borderId="14" xfId="0" quotePrefix="1" applyFont="1" applyBorder="1" applyAlignment="1">
      <alignment horizontal="right"/>
    </xf>
    <xf numFmtId="0" fontId="3" fillId="0" borderId="11" xfId="0" quotePrefix="1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10" xfId="0" applyFont="1" applyBorder="1" applyAlignment="1">
      <alignment horizontal="right"/>
    </xf>
    <xf numFmtId="164" fontId="3" fillId="0" borderId="4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0" quotePrefix="1" applyFont="1" applyBorder="1"/>
    <xf numFmtId="0" fontId="2" fillId="0" borderId="2" xfId="0" quotePrefix="1" applyFont="1" applyBorder="1"/>
    <xf numFmtId="0" fontId="0" fillId="0" borderId="3" xfId="0" quotePrefix="1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9" fillId="0" borderId="8" xfId="0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64" fontId="10" fillId="0" borderId="9" xfId="1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0" borderId="0" xfId="1" applyNumberFormat="1" applyFont="1" applyBorder="1" applyAlignment="1">
      <alignment horizontal="center" vertical="center"/>
    </xf>
    <xf numFmtId="0" fontId="3" fillId="0" borderId="0" xfId="0" applyFont="1" applyBorder="1"/>
    <xf numFmtId="0" fontId="2" fillId="0" borderId="0" xfId="0" applyFont="1" applyFill="1"/>
    <xf numFmtId="0" fontId="0" fillId="0" borderId="0" xfId="0" applyFill="1"/>
    <xf numFmtId="0" fontId="2" fillId="0" borderId="8" xfId="0" applyFont="1" applyFill="1" applyBorder="1"/>
    <xf numFmtId="0" fontId="2" fillId="0" borderId="10" xfId="0" applyFont="1" applyFill="1" applyBorder="1"/>
    <xf numFmtId="0" fontId="6" fillId="0" borderId="10" xfId="0" applyFont="1" applyFill="1" applyBorder="1"/>
    <xf numFmtId="0" fontId="0" fillId="0" borderId="10" xfId="0" applyFill="1" applyBorder="1"/>
    <xf numFmtId="0" fontId="0" fillId="0" borderId="9" xfId="0" applyFill="1" applyBorder="1"/>
    <xf numFmtId="0" fontId="0" fillId="0" borderId="16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2" fillId="0" borderId="4" xfId="0" quotePrefix="1" applyFont="1" applyFill="1" applyBorder="1"/>
    <xf numFmtId="0" fontId="2" fillId="0" borderId="2" xfId="0" quotePrefix="1" applyFont="1" applyFill="1" applyBorder="1"/>
    <xf numFmtId="0" fontId="0" fillId="0" borderId="3" xfId="0" quotePrefix="1" applyFill="1" applyBorder="1"/>
    <xf numFmtId="0" fontId="0" fillId="0" borderId="2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2" fontId="7" fillId="0" borderId="6" xfId="0" quotePrefix="1" applyNumberFormat="1" applyFont="1" applyFill="1" applyBorder="1" applyAlignment="1">
      <alignment horizontal="center"/>
    </xf>
    <xf numFmtId="165" fontId="7" fillId="0" borderId="6" xfId="0" applyNumberFormat="1" applyFont="1" applyFill="1" applyBorder="1" applyAlignment="1">
      <alignment horizontal="center"/>
    </xf>
    <xf numFmtId="2" fontId="7" fillId="0" borderId="6" xfId="0" applyNumberFormat="1" applyFont="1" applyFill="1" applyBorder="1" applyAlignment="1">
      <alignment horizontal="center"/>
    </xf>
    <xf numFmtId="2" fontId="8" fillId="0" borderId="6" xfId="0" applyNumberFormat="1" applyFont="1" applyFill="1" applyBorder="1" applyAlignment="1">
      <alignment horizontal="center"/>
    </xf>
    <xf numFmtId="2" fontId="9" fillId="0" borderId="8" xfId="0" applyNumberFormat="1" applyFont="1" applyFill="1" applyBorder="1" applyAlignment="1">
      <alignment horizontal="center"/>
    </xf>
    <xf numFmtId="165" fontId="10" fillId="0" borderId="9" xfId="0" applyNumberFormat="1" applyFont="1" applyFill="1" applyBorder="1" applyAlignment="1">
      <alignment horizontal="center"/>
    </xf>
    <xf numFmtId="164" fontId="10" fillId="0" borderId="1" xfId="1" applyNumberFormat="1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2" fontId="10" fillId="0" borderId="10" xfId="0" applyNumberFormat="1" applyFont="1" applyFill="1" applyBorder="1" applyAlignment="1">
      <alignment horizontal="center"/>
    </xf>
    <xf numFmtId="0" fontId="3" fillId="0" borderId="0" xfId="0" applyFont="1" applyFill="1"/>
    <xf numFmtId="43" fontId="3" fillId="5" borderId="6" xfId="1" applyNumberFormat="1" applyFont="1" applyFill="1" applyBorder="1" applyAlignment="1">
      <alignment horizontal="center" vertical="center"/>
    </xf>
    <xf numFmtId="0" fontId="0" fillId="5" borderId="0" xfId="0" applyFill="1"/>
    <xf numFmtId="0" fontId="3" fillId="5" borderId="1" xfId="0" applyFont="1" applyFill="1" applyBorder="1" applyAlignment="1">
      <alignment horizontal="center" vertical="center"/>
    </xf>
    <xf numFmtId="43" fontId="3" fillId="5" borderId="1" xfId="1" applyNumberFormat="1" applyFont="1" applyFill="1" applyBorder="1" applyAlignment="1">
      <alignment horizontal="center" vertical="center"/>
    </xf>
    <xf numFmtId="166" fontId="3" fillId="5" borderId="1" xfId="1" applyNumberFormat="1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2" fontId="11" fillId="5" borderId="6" xfId="0" applyNumberFormat="1" applyFont="1" applyFill="1" applyBorder="1" applyAlignment="1">
      <alignment horizontal="center"/>
    </xf>
    <xf numFmtId="2" fontId="10" fillId="0" borderId="9" xfId="0" applyNumberFormat="1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0" fillId="0" borderId="0" xfId="0" applyFont="1" applyAlignment="1">
      <alignment horizontal="left"/>
    </xf>
    <xf numFmtId="0" fontId="0" fillId="0" borderId="0" xfId="0" applyFont="1"/>
    <xf numFmtId="43" fontId="11" fillId="5" borderId="6" xfId="1" applyNumberFormat="1" applyFont="1" applyFill="1" applyBorder="1" applyAlignment="1">
      <alignment horizontal="center"/>
    </xf>
    <xf numFmtId="43" fontId="3" fillId="0" borderId="1" xfId="0" applyNumberFormat="1" applyFont="1" applyBorder="1" applyAlignment="1">
      <alignment horizontal="center"/>
    </xf>
    <xf numFmtId="43" fontId="3" fillId="0" borderId="11" xfId="0" applyNumberFormat="1" applyFont="1" applyBorder="1"/>
    <xf numFmtId="43" fontId="3" fillId="0" borderId="1" xfId="0" applyNumberFormat="1" applyFont="1" applyBorder="1"/>
    <xf numFmtId="165" fontId="13" fillId="0" borderId="6" xfId="0" applyNumberFormat="1" applyFont="1" applyFill="1" applyBorder="1" applyAlignment="1">
      <alignment horizontal="center"/>
    </xf>
    <xf numFmtId="2" fontId="15" fillId="0" borderId="10" xfId="0" applyNumberFormat="1" applyFont="1" applyFill="1" applyBorder="1" applyAlignment="1">
      <alignment horizontal="center"/>
    </xf>
    <xf numFmtId="2" fontId="15" fillId="0" borderId="9" xfId="0" applyNumberFormat="1" applyFont="1" applyFill="1" applyBorder="1" applyAlignment="1">
      <alignment horizontal="center"/>
    </xf>
    <xf numFmtId="167" fontId="11" fillId="5" borderId="6" xfId="0" applyNumberFormat="1" applyFont="1" applyFill="1" applyBorder="1" applyAlignment="1">
      <alignment horizontal="center"/>
    </xf>
    <xf numFmtId="43" fontId="10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2" fontId="3" fillId="0" borderId="1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5" borderId="2" xfId="0" applyNumberFormat="1" applyFont="1" applyFill="1" applyBorder="1" applyAlignment="1">
      <alignment horizontal="center"/>
    </xf>
    <xf numFmtId="2" fontId="3" fillId="5" borderId="6" xfId="0" applyNumberFormat="1" applyFont="1" applyFill="1" applyBorder="1" applyAlignment="1">
      <alignment horizontal="center"/>
    </xf>
    <xf numFmtId="0" fontId="3" fillId="0" borderId="7" xfId="0" quotePrefix="1" applyFont="1" applyBorder="1" applyAlignment="1">
      <alignment horizontal="right"/>
    </xf>
    <xf numFmtId="0" fontId="3" fillId="0" borderId="7" xfId="0" applyFont="1" applyBorder="1"/>
    <xf numFmtId="10" fontId="3" fillId="0" borderId="7" xfId="2" applyNumberFormat="1" applyFont="1" applyBorder="1" applyAlignment="1">
      <alignment horizontal="right" vertical="center"/>
    </xf>
    <xf numFmtId="10" fontId="3" fillId="0" borderId="9" xfId="2" applyNumberFormat="1" applyFont="1" applyBorder="1" applyAlignment="1">
      <alignment horizontal="right" vertical="center"/>
    </xf>
    <xf numFmtId="10" fontId="3" fillId="0" borderId="9" xfId="0" applyNumberFormat="1" applyFont="1" applyBorder="1" applyAlignment="1">
      <alignment horizontal="right" vertical="center"/>
    </xf>
    <xf numFmtId="10" fontId="3" fillId="0" borderId="11" xfId="2" applyNumberFormat="1" applyFont="1" applyBorder="1" applyAlignment="1">
      <alignment horizontal="right" vertical="center"/>
    </xf>
    <xf numFmtId="10" fontId="3" fillId="0" borderId="1" xfId="2" applyNumberFormat="1" applyFont="1" applyBorder="1" applyAlignment="1">
      <alignment horizontal="right" vertical="center"/>
    </xf>
    <xf numFmtId="10" fontId="3" fillId="0" borderId="7" xfId="2" applyNumberFormat="1" applyFont="1" applyBorder="1" applyAlignment="1">
      <alignment horizontal="right"/>
    </xf>
    <xf numFmtId="10" fontId="3" fillId="0" borderId="9" xfId="2" applyNumberFormat="1" applyFont="1" applyBorder="1" applyAlignment="1">
      <alignment horizontal="right"/>
    </xf>
    <xf numFmtId="10" fontId="3" fillId="0" borderId="9" xfId="0" applyNumberFormat="1" applyFont="1" applyBorder="1" applyAlignment="1">
      <alignment horizontal="right"/>
    </xf>
    <xf numFmtId="10" fontId="3" fillId="0" borderId="11" xfId="2" applyNumberFormat="1" applyFont="1" applyBorder="1" applyAlignment="1">
      <alignment horizontal="right"/>
    </xf>
    <xf numFmtId="10" fontId="3" fillId="0" borderId="1" xfId="2" applyNumberFormat="1" applyFont="1" applyBorder="1" applyAlignment="1">
      <alignment horizontal="right"/>
    </xf>
    <xf numFmtId="43" fontId="3" fillId="5" borderId="5" xfId="1" applyNumberFormat="1" applyFont="1" applyFill="1" applyBorder="1" applyAlignment="1">
      <alignment horizontal="right" vertical="center"/>
    </xf>
    <xf numFmtId="43" fontId="3" fillId="5" borderId="6" xfId="1" applyNumberFormat="1" applyFont="1" applyFill="1" applyBorder="1" applyAlignment="1">
      <alignment horizontal="right" vertical="center"/>
    </xf>
    <xf numFmtId="43" fontId="3" fillId="5" borderId="15" xfId="1" applyNumberFormat="1" applyFont="1" applyFill="1" applyBorder="1" applyAlignment="1">
      <alignment horizontal="right" vertical="center"/>
    </xf>
    <xf numFmtId="43" fontId="3" fillId="5" borderId="11" xfId="1" applyNumberFormat="1" applyFont="1" applyFill="1" applyBorder="1" applyAlignment="1">
      <alignment horizontal="right" vertical="center"/>
    </xf>
    <xf numFmtId="166" fontId="3" fillId="5" borderId="6" xfId="1" applyNumberFormat="1" applyFont="1" applyFill="1" applyBorder="1" applyAlignment="1">
      <alignment horizontal="right" vertical="center"/>
    </xf>
    <xf numFmtId="43" fontId="3" fillId="5" borderId="5" xfId="0" applyNumberFormat="1" applyFont="1" applyFill="1" applyBorder="1" applyAlignment="1">
      <alignment horizontal="right"/>
    </xf>
    <xf numFmtId="166" fontId="3" fillId="5" borderId="6" xfId="0" applyNumberFormat="1" applyFont="1" applyFill="1" applyBorder="1" applyAlignment="1">
      <alignment horizontal="right"/>
    </xf>
    <xf numFmtId="43" fontId="3" fillId="5" borderId="15" xfId="0" applyNumberFormat="1" applyFont="1" applyFill="1" applyBorder="1" applyAlignment="1">
      <alignment horizontal="right"/>
    </xf>
    <xf numFmtId="166" fontId="3" fillId="5" borderId="11" xfId="0" applyNumberFormat="1" applyFont="1" applyFill="1" applyBorder="1" applyAlignment="1">
      <alignment horizontal="right"/>
    </xf>
    <xf numFmtId="2" fontId="3" fillId="0" borderId="1" xfId="1" applyNumberFormat="1" applyFont="1" applyBorder="1" applyAlignment="1">
      <alignment horizontal="right" vertical="center"/>
    </xf>
    <xf numFmtId="167" fontId="3" fillId="0" borderId="1" xfId="1" applyNumberFormat="1" applyFont="1" applyBorder="1" applyAlignment="1">
      <alignment horizontal="right" vertical="center"/>
    </xf>
    <xf numFmtId="1" fontId="3" fillId="0" borderId="1" xfId="1" applyNumberFormat="1" applyFont="1" applyBorder="1" applyAlignment="1">
      <alignment horizontal="right" vertical="center"/>
    </xf>
    <xf numFmtId="43" fontId="16" fillId="0" borderId="2" xfId="1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 vertical="center"/>
    </xf>
    <xf numFmtId="166" fontId="3" fillId="5" borderId="11" xfId="1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left"/>
    </xf>
    <xf numFmtId="0" fontId="0" fillId="5" borderId="0" xfId="0" applyFont="1" applyFill="1"/>
    <xf numFmtId="43" fontId="3" fillId="5" borderId="5" xfId="1" applyNumberFormat="1" applyFont="1" applyFill="1" applyBorder="1" applyAlignment="1">
      <alignment horizontal="center" vertical="center"/>
    </xf>
    <xf numFmtId="43" fontId="3" fillId="5" borderId="15" xfId="1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2" fillId="0" borderId="8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0" borderId="15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horizontal="left"/>
    </xf>
    <xf numFmtId="43" fontId="3" fillId="0" borderId="0" xfId="0" applyNumberFormat="1" applyFont="1"/>
    <xf numFmtId="43" fontId="3" fillId="6" borderId="5" xfId="1" applyNumberFormat="1" applyFont="1" applyFill="1" applyBorder="1" applyAlignment="1">
      <alignment horizontal="right" vertical="center"/>
    </xf>
    <xf numFmtId="43" fontId="3" fillId="6" borderId="6" xfId="1" applyNumberFormat="1" applyFont="1" applyFill="1" applyBorder="1" applyAlignment="1">
      <alignment horizontal="right" vertical="center"/>
    </xf>
    <xf numFmtId="43" fontId="3" fillId="6" borderId="11" xfId="1" applyNumberFormat="1" applyFont="1" applyFill="1" applyBorder="1" applyAlignment="1">
      <alignment horizontal="right" vertical="center"/>
    </xf>
    <xf numFmtId="43" fontId="0" fillId="0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CCFFCC"/>
      <color rgb="FF0000FF"/>
      <color rgb="FFFFCCFF"/>
      <color rgb="FF99CCFF"/>
      <color rgb="FFFF99FF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showGridLines="0" view="pageBreakPreview" zoomScaleNormal="100" zoomScaleSheetLayoutView="100" workbookViewId="0">
      <selection activeCell="G17" sqref="G17"/>
    </sheetView>
  </sheetViews>
  <sheetFormatPr defaultRowHeight="15"/>
  <cols>
    <col min="1" max="1" width="4.140625" customWidth="1"/>
    <col min="2" max="2" width="24.85546875" customWidth="1"/>
    <col min="3" max="3" width="23.85546875" customWidth="1"/>
    <col min="4" max="4" width="15.5703125" customWidth="1"/>
    <col min="6" max="7" width="10.7109375" bestFit="1" customWidth="1"/>
  </cols>
  <sheetData>
    <row r="1" spans="2:10">
      <c r="B1" s="1" t="s">
        <v>0</v>
      </c>
      <c r="C1" s="138" t="s">
        <v>98</v>
      </c>
    </row>
    <row r="2" spans="2:10">
      <c r="B2" s="1" t="s">
        <v>1</v>
      </c>
      <c r="C2" t="s">
        <v>91</v>
      </c>
    </row>
    <row r="3" spans="2:10">
      <c r="B3" s="1" t="s">
        <v>2</v>
      </c>
      <c r="C3" s="82" t="s">
        <v>99</v>
      </c>
    </row>
    <row r="4" spans="2:10">
      <c r="B4" s="1" t="s">
        <v>3</v>
      </c>
      <c r="C4" s="82" t="s">
        <v>96</v>
      </c>
    </row>
    <row r="5" spans="2:10">
      <c r="B5" s="1" t="s">
        <v>4</v>
      </c>
      <c r="C5" s="82" t="s">
        <v>97</v>
      </c>
    </row>
    <row r="7" spans="2:10">
      <c r="B7" s="2" t="s">
        <v>5</v>
      </c>
      <c r="C7" s="83">
        <v>32</v>
      </c>
      <c r="D7" s="4"/>
      <c r="E7" s="4"/>
      <c r="F7" s="4"/>
      <c r="G7" s="4"/>
      <c r="H7" s="4"/>
      <c r="I7" s="4"/>
      <c r="J7" s="4"/>
    </row>
    <row r="8" spans="2:10">
      <c r="B8" s="2" t="s">
        <v>6</v>
      </c>
      <c r="C8" s="84">
        <v>40</v>
      </c>
      <c r="E8" s="6"/>
      <c r="F8" s="6"/>
    </row>
    <row r="9" spans="2:10">
      <c r="B9" s="2" t="s">
        <v>7</v>
      </c>
      <c r="C9" s="84">
        <v>2.37</v>
      </c>
    </row>
    <row r="10" spans="2:10">
      <c r="B10" s="2" t="s">
        <v>8</v>
      </c>
      <c r="C10" s="84">
        <v>0.84</v>
      </c>
    </row>
    <row r="11" spans="2:10">
      <c r="B11" s="2" t="s">
        <v>10</v>
      </c>
      <c r="C11" s="84">
        <v>30.68</v>
      </c>
    </row>
    <row r="12" spans="2:10">
      <c r="B12" s="2" t="s">
        <v>11</v>
      </c>
      <c r="C12" s="84">
        <v>15.54</v>
      </c>
    </row>
    <row r="13" spans="2:10">
      <c r="B13" s="2" t="s">
        <v>12</v>
      </c>
      <c r="C13" s="85">
        <v>3.5</v>
      </c>
    </row>
    <row r="14" spans="2:10">
      <c r="B14" s="2" t="s">
        <v>13</v>
      </c>
      <c r="C14" s="86">
        <v>44</v>
      </c>
    </row>
    <row r="15" spans="2:10">
      <c r="B15" s="2" t="s">
        <v>14</v>
      </c>
      <c r="C15" s="84">
        <v>0.62</v>
      </c>
    </row>
    <row r="16" spans="2:10">
      <c r="B16" s="2" t="s">
        <v>94</v>
      </c>
      <c r="C16" s="84">
        <v>1.56</v>
      </c>
    </row>
    <row r="17" spans="2:3">
      <c r="B17" s="8"/>
    </row>
    <row r="19" spans="2:3">
      <c r="B19" s="9" t="s">
        <v>15</v>
      </c>
    </row>
    <row r="20" spans="2:3" ht="29.45" customHeight="1">
      <c r="B20" s="10" t="s">
        <v>16</v>
      </c>
      <c r="C20" s="3"/>
    </row>
    <row r="21" spans="2:3">
      <c r="B21" s="2" t="s">
        <v>17</v>
      </c>
      <c r="C21" s="5"/>
    </row>
    <row r="22" spans="2:3">
      <c r="B22" s="11"/>
      <c r="C22" s="5"/>
    </row>
    <row r="23" spans="2:3">
      <c r="B23" s="2" t="s">
        <v>18</v>
      </c>
      <c r="C23" s="7"/>
    </row>
    <row r="24" spans="2:3">
      <c r="B24" s="2" t="s">
        <v>19</v>
      </c>
      <c r="C24" s="7"/>
    </row>
    <row r="25" spans="2:3">
      <c r="B25" s="2" t="s">
        <v>20</v>
      </c>
      <c r="C25" s="5"/>
    </row>
  </sheetData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8"/>
  <sheetViews>
    <sheetView showGridLines="0" view="pageBreakPreview" topLeftCell="A23" zoomScale="145" zoomScaleNormal="100" zoomScaleSheetLayoutView="145" workbookViewId="0">
      <selection activeCell="N30" sqref="N30"/>
    </sheetView>
  </sheetViews>
  <sheetFormatPr defaultColWidth="8.85546875" defaultRowHeight="14.25"/>
  <cols>
    <col min="1" max="1" width="3.85546875" style="13" customWidth="1"/>
    <col min="2" max="2" width="35.28515625" style="13" bestFit="1" customWidth="1"/>
    <col min="3" max="3" width="10.140625" style="13" customWidth="1"/>
    <col min="4" max="4" width="13.28515625" style="13" bestFit="1" customWidth="1"/>
    <col min="5" max="5" width="10" style="13" bestFit="1" customWidth="1"/>
    <col min="6" max="6" width="3.5703125" style="13" customWidth="1"/>
    <col min="7" max="7" width="8" style="13" bestFit="1" customWidth="1"/>
    <col min="8" max="9" width="11.42578125" style="13" bestFit="1" customWidth="1"/>
    <col min="10" max="10" width="15" style="13" bestFit="1" customWidth="1"/>
    <col min="11" max="11" width="6.85546875" style="13" bestFit="1" customWidth="1"/>
    <col min="12" max="12" width="11.7109375" style="13" customWidth="1"/>
    <col min="13" max="16384" width="8.85546875" style="13"/>
  </cols>
  <sheetData>
    <row r="2" spans="2:8" ht="15">
      <c r="B2" s="12" t="s">
        <v>0</v>
      </c>
      <c r="C2" s="137" t="str">
        <f>'Raw Coal analysis'!C1</f>
        <v>PR6_B5_0CL1</v>
      </c>
      <c r="D2" s="90"/>
      <c r="E2" s="91"/>
    </row>
    <row r="3" spans="2:8" ht="15">
      <c r="B3" s="12" t="s">
        <v>1</v>
      </c>
      <c r="C3" s="92" t="s">
        <v>21</v>
      </c>
      <c r="D3" s="92"/>
      <c r="E3" s="93"/>
    </row>
    <row r="4" spans="2:8" ht="15">
      <c r="B4" s="12" t="s">
        <v>2</v>
      </c>
      <c r="C4" s="141" t="str">
        <f>'Raw Coal analysis'!C3</f>
        <v>2019.11.07</v>
      </c>
      <c r="D4" s="141"/>
      <c r="E4" s="93"/>
    </row>
    <row r="5" spans="2:8" ht="15">
      <c r="B5" s="12" t="s">
        <v>3</v>
      </c>
      <c r="C5" s="141" t="str">
        <f>'Raw Coal analysis'!C4</f>
        <v>Process team</v>
      </c>
      <c r="D5" s="141"/>
      <c r="E5" s="93"/>
    </row>
    <row r="6" spans="2:8" ht="15">
      <c r="B6" s="12" t="s">
        <v>4</v>
      </c>
      <c r="C6" s="141" t="str">
        <f>'Raw Coal analysis'!C5</f>
        <v>2019.10.30</v>
      </c>
      <c r="D6" s="141"/>
      <c r="E6" s="93"/>
    </row>
    <row r="7" spans="2:8">
      <c r="G7" s="80"/>
      <c r="H7" s="80"/>
    </row>
    <row r="8" spans="2:8" ht="28.5">
      <c r="B8" s="14" t="s">
        <v>22</v>
      </c>
      <c r="C8" s="15" t="s">
        <v>23</v>
      </c>
      <c r="D8" s="16" t="s">
        <v>24</v>
      </c>
      <c r="E8" s="16" t="s">
        <v>25</v>
      </c>
      <c r="G8" s="80"/>
      <c r="H8" s="80"/>
    </row>
    <row r="9" spans="2:8">
      <c r="B9" s="17" t="s">
        <v>26</v>
      </c>
      <c r="C9" s="18"/>
      <c r="D9" s="107">
        <v>308.7</v>
      </c>
      <c r="E9" s="19" t="s">
        <v>9</v>
      </c>
      <c r="G9" s="80"/>
      <c r="H9" s="80"/>
    </row>
    <row r="10" spans="2:8">
      <c r="B10" s="20"/>
      <c r="C10" s="21" t="s">
        <v>27</v>
      </c>
      <c r="D10" s="108">
        <v>40.1</v>
      </c>
      <c r="E10" s="111">
        <f>D10/$D$14</f>
        <v>0.14050455501051154</v>
      </c>
    </row>
    <row r="11" spans="2:8">
      <c r="B11" s="20" t="s">
        <v>28</v>
      </c>
      <c r="C11" s="21"/>
      <c r="D11" s="108">
        <v>245.3</v>
      </c>
      <c r="E11" s="111">
        <f>D11/$D$14</f>
        <v>0.85949544498948838</v>
      </c>
    </row>
    <row r="12" spans="2:8">
      <c r="B12" s="22" t="s">
        <v>29</v>
      </c>
      <c r="C12" s="23"/>
      <c r="D12" s="106">
        <f>D9-(D10+D11)</f>
        <v>23.299999999999955</v>
      </c>
      <c r="E12" s="112">
        <f>D12/D9</f>
        <v>7.5477810171687573E-2</v>
      </c>
    </row>
    <row r="13" spans="2:8" ht="7.15" customHeight="1">
      <c r="B13" s="24"/>
      <c r="C13" s="25"/>
      <c r="D13" s="25"/>
      <c r="E13" s="113"/>
    </row>
    <row r="14" spans="2:8">
      <c r="B14" s="26" t="s">
        <v>30</v>
      </c>
      <c r="C14" s="27"/>
      <c r="D14" s="105">
        <f>D10+D11</f>
        <v>285.40000000000003</v>
      </c>
      <c r="E14" s="114">
        <f>D14/D9</f>
        <v>0.92452218982831247</v>
      </c>
    </row>
    <row r="15" spans="2:8">
      <c r="B15" s="23" t="s">
        <v>31</v>
      </c>
      <c r="C15" s="28"/>
      <c r="D15" s="106">
        <f>D10+D11+D12</f>
        <v>308.7</v>
      </c>
      <c r="E15" s="115">
        <f>D15/D9</f>
        <v>1</v>
      </c>
    </row>
    <row r="16" spans="2:8" ht="6" customHeight="1"/>
    <row r="17" spans="1:12" ht="28.5">
      <c r="B17" s="14" t="s">
        <v>32</v>
      </c>
      <c r="C17" s="15" t="s">
        <v>23</v>
      </c>
      <c r="D17" s="16" t="s">
        <v>24</v>
      </c>
      <c r="E17" s="16" t="s">
        <v>25</v>
      </c>
      <c r="G17" s="16" t="s">
        <v>8</v>
      </c>
      <c r="H17" s="16" t="s">
        <v>10</v>
      </c>
      <c r="I17" s="16" t="s">
        <v>93</v>
      </c>
      <c r="J17" s="16" t="s">
        <v>14</v>
      </c>
      <c r="K17" s="16" t="s">
        <v>63</v>
      </c>
    </row>
    <row r="18" spans="1:12">
      <c r="A18" s="110"/>
      <c r="B18" s="109" t="s">
        <v>26</v>
      </c>
      <c r="C18" s="29"/>
      <c r="D18" s="133">
        <v>100</v>
      </c>
      <c r="E18" s="19" t="s">
        <v>9</v>
      </c>
      <c r="G18" s="30" t="s">
        <v>9</v>
      </c>
      <c r="H18" s="30" t="s">
        <v>9</v>
      </c>
      <c r="I18" s="30" t="s">
        <v>9</v>
      </c>
      <c r="J18" s="30" t="s">
        <v>9</v>
      </c>
      <c r="K18" s="30"/>
      <c r="L18" s="53"/>
    </row>
    <row r="19" spans="1:12">
      <c r="A19" s="110"/>
      <c r="B19" s="109" t="s">
        <v>28</v>
      </c>
      <c r="C19" s="109" t="s">
        <v>33</v>
      </c>
      <c r="D19" s="81">
        <v>13.4</v>
      </c>
      <c r="E19" s="116">
        <f>D19/$D$28</f>
        <v>0.13576494427558258</v>
      </c>
      <c r="G19" s="121">
        <v>1.1200000000000001</v>
      </c>
      <c r="H19" s="122">
        <v>38.44</v>
      </c>
      <c r="I19" s="121">
        <v>14.27</v>
      </c>
      <c r="J19" s="139">
        <v>0.6</v>
      </c>
      <c r="K19" s="125">
        <v>1</v>
      </c>
      <c r="L19" s="53"/>
    </row>
    <row r="20" spans="1:12">
      <c r="A20" s="110"/>
      <c r="B20" s="109" t="s">
        <v>34</v>
      </c>
      <c r="C20" s="109" t="s">
        <v>35</v>
      </c>
      <c r="D20" s="81">
        <v>17.8</v>
      </c>
      <c r="E20" s="116">
        <f t="shared" ref="E20:E25" si="0">D20/$D$28</f>
        <v>0.18034447821681865</v>
      </c>
      <c r="G20" s="121">
        <v>0.94</v>
      </c>
      <c r="H20" s="122">
        <v>33.08</v>
      </c>
      <c r="I20" s="121">
        <v>14.97</v>
      </c>
      <c r="J20" s="139">
        <v>0.56999999999999995</v>
      </c>
      <c r="K20" s="125">
        <v>1</v>
      </c>
      <c r="L20" s="53"/>
    </row>
    <row r="21" spans="1:12">
      <c r="A21" s="110"/>
      <c r="B21" s="109" t="s">
        <v>36</v>
      </c>
      <c r="C21" s="109" t="s">
        <v>37</v>
      </c>
      <c r="D21" s="81">
        <v>19.2</v>
      </c>
      <c r="E21" s="116">
        <f t="shared" si="0"/>
        <v>0.19452887537993921</v>
      </c>
      <c r="G21" s="121">
        <v>1.1499999999999999</v>
      </c>
      <c r="H21" s="122">
        <v>39.11</v>
      </c>
      <c r="I21" s="121">
        <v>14.4</v>
      </c>
      <c r="J21" s="139">
        <v>0.56000000000000005</v>
      </c>
      <c r="K21" s="125">
        <v>1</v>
      </c>
      <c r="L21" s="53"/>
    </row>
    <row r="22" spans="1:12">
      <c r="A22" s="110"/>
      <c r="B22" s="109" t="s">
        <v>38</v>
      </c>
      <c r="C22" s="109" t="s">
        <v>39</v>
      </c>
      <c r="D22" s="81">
        <v>13.4</v>
      </c>
      <c r="E22" s="116">
        <f t="shared" si="0"/>
        <v>0.13576494427558258</v>
      </c>
      <c r="G22" s="121">
        <v>1.48</v>
      </c>
      <c r="H22" s="122">
        <v>49.46</v>
      </c>
      <c r="I22" s="121">
        <v>12.66</v>
      </c>
      <c r="J22" s="139">
        <v>0.5</v>
      </c>
      <c r="K22" s="125">
        <v>0.5</v>
      </c>
      <c r="L22" s="53"/>
    </row>
    <row r="23" spans="1:12">
      <c r="A23" s="110"/>
      <c r="B23" s="109" t="s">
        <v>40</v>
      </c>
      <c r="C23" s="109" t="s">
        <v>41</v>
      </c>
      <c r="D23" s="81">
        <v>15.5</v>
      </c>
      <c r="E23" s="116">
        <f t="shared" si="0"/>
        <v>0.15704154002026341</v>
      </c>
      <c r="G23" s="121">
        <v>1.4</v>
      </c>
      <c r="H23" s="122">
        <v>46.59</v>
      </c>
      <c r="I23" s="121">
        <v>13.07</v>
      </c>
      <c r="J23" s="139">
        <v>0.53</v>
      </c>
      <c r="K23" s="125">
        <v>1</v>
      </c>
      <c r="L23" s="53"/>
    </row>
    <row r="24" spans="1:12">
      <c r="A24" s="110"/>
      <c r="B24" s="109" t="s">
        <v>42</v>
      </c>
      <c r="C24" s="109" t="s">
        <v>43</v>
      </c>
      <c r="D24" s="81">
        <v>6.8</v>
      </c>
      <c r="E24" s="116">
        <f t="shared" si="0"/>
        <v>6.889564336372847E-2</v>
      </c>
      <c r="G24" s="121">
        <v>1.04</v>
      </c>
      <c r="H24" s="122">
        <v>33.39</v>
      </c>
      <c r="I24" s="121">
        <v>15.86</v>
      </c>
      <c r="J24" s="139">
        <v>0.76</v>
      </c>
      <c r="K24" s="125">
        <v>6</v>
      </c>
      <c r="L24" s="53"/>
    </row>
    <row r="25" spans="1:12">
      <c r="B25" s="32" t="s">
        <v>44</v>
      </c>
      <c r="C25" s="33" t="s">
        <v>45</v>
      </c>
      <c r="D25" s="81">
        <v>12.6</v>
      </c>
      <c r="E25" s="116">
        <f t="shared" si="0"/>
        <v>0.1276595744680851</v>
      </c>
      <c r="G25" s="123">
        <v>0.86</v>
      </c>
      <c r="H25" s="124">
        <v>24.23</v>
      </c>
      <c r="I25" s="123">
        <v>18.170000000000002</v>
      </c>
      <c r="J25" s="140">
        <v>0.91</v>
      </c>
      <c r="K25" s="136">
        <v>8</v>
      </c>
      <c r="L25" s="53"/>
    </row>
    <row r="26" spans="1:12">
      <c r="B26" s="23" t="s">
        <v>29</v>
      </c>
      <c r="C26" s="34"/>
      <c r="D26" s="95">
        <f>D18-SUM(D19:D25)</f>
        <v>1.2999999999999972</v>
      </c>
      <c r="E26" s="117">
        <f>D26/D18</f>
        <v>1.2999999999999972E-2</v>
      </c>
    </row>
    <row r="27" spans="1:12" ht="7.9" customHeight="1">
      <c r="B27" s="24"/>
      <c r="C27" s="25"/>
      <c r="D27" s="25"/>
      <c r="E27" s="118"/>
    </row>
    <row r="28" spans="1:12">
      <c r="B28" s="26" t="s">
        <v>30</v>
      </c>
      <c r="C28" s="27"/>
      <c r="D28" s="96">
        <f>SUM(D19:D25)</f>
        <v>98.7</v>
      </c>
      <c r="E28" s="119">
        <f>D28/D18</f>
        <v>0.98699999999999999</v>
      </c>
    </row>
    <row r="29" spans="1:12">
      <c r="B29" s="23" t="s">
        <v>31</v>
      </c>
      <c r="C29" s="28"/>
      <c r="D29" s="97">
        <f>SUM(D19:D25)+D26</f>
        <v>100</v>
      </c>
      <c r="E29" s="120">
        <f>D29/D18</f>
        <v>1</v>
      </c>
    </row>
    <row r="31" spans="1:12" ht="28.5">
      <c r="B31" s="14" t="s">
        <v>46</v>
      </c>
      <c r="C31" s="15" t="s">
        <v>23</v>
      </c>
      <c r="D31" s="16" t="s">
        <v>24</v>
      </c>
      <c r="E31" s="16" t="s">
        <v>25</v>
      </c>
      <c r="F31" s="4"/>
      <c r="G31" s="16" t="s">
        <v>8</v>
      </c>
      <c r="H31" s="16" t="s">
        <v>10</v>
      </c>
      <c r="I31" s="16" t="s">
        <v>93</v>
      </c>
      <c r="J31" s="16" t="s">
        <v>14</v>
      </c>
      <c r="K31" s="16" t="s">
        <v>63</v>
      </c>
    </row>
    <row r="32" spans="1:12">
      <c r="B32" s="18" t="s">
        <v>26</v>
      </c>
      <c r="C32" s="29"/>
      <c r="D32" s="133">
        <v>50</v>
      </c>
      <c r="E32" s="19" t="s">
        <v>9</v>
      </c>
      <c r="G32" s="35" t="s">
        <v>9</v>
      </c>
      <c r="H32" s="30" t="s">
        <v>9</v>
      </c>
      <c r="I32" s="30" t="s">
        <v>9</v>
      </c>
      <c r="J32" s="30" t="s">
        <v>9</v>
      </c>
      <c r="K32" s="30" t="s">
        <v>9</v>
      </c>
      <c r="L32" s="53"/>
    </row>
    <row r="33" spans="2:13">
      <c r="B33" s="21" t="s">
        <v>28</v>
      </c>
      <c r="C33" s="31" t="s">
        <v>33</v>
      </c>
      <c r="D33" s="81">
        <v>5.7</v>
      </c>
      <c r="E33" s="116">
        <f>D33/$D$47</f>
        <v>0.11654058474749539</v>
      </c>
      <c r="G33" s="121">
        <v>0.67</v>
      </c>
      <c r="H33" s="160">
        <v>27.39</v>
      </c>
      <c r="I33" s="121">
        <v>15.4</v>
      </c>
      <c r="J33" s="121">
        <v>1.01</v>
      </c>
      <c r="K33" s="125">
        <v>1</v>
      </c>
      <c r="L33" s="53">
        <v>0.11654058474749539</v>
      </c>
      <c r="M33" s="159">
        <f>L33*100</f>
        <v>11.654058474749538</v>
      </c>
    </row>
    <row r="34" spans="2:13">
      <c r="B34" s="21" t="s">
        <v>34</v>
      </c>
      <c r="C34" s="33" t="s">
        <v>35</v>
      </c>
      <c r="D34" s="81">
        <v>7.9</v>
      </c>
      <c r="E34" s="116">
        <f t="shared" ref="E34:E44" si="1">D34/$D$47</f>
        <v>0.16152116131670416</v>
      </c>
      <c r="G34" s="121">
        <v>0.72</v>
      </c>
      <c r="H34" s="160">
        <v>35.619999999999997</v>
      </c>
      <c r="I34" s="121">
        <v>14.85</v>
      </c>
      <c r="J34" s="121">
        <v>0.56000000000000005</v>
      </c>
      <c r="K34" s="125">
        <v>1</v>
      </c>
      <c r="L34" s="53">
        <v>0.16152116131670416</v>
      </c>
      <c r="M34" s="159">
        <f t="shared" ref="M34:M44" si="2">L34*100</f>
        <v>16.152116131670414</v>
      </c>
    </row>
    <row r="35" spans="2:13">
      <c r="B35" s="21" t="s">
        <v>36</v>
      </c>
      <c r="C35" s="33" t="s">
        <v>37</v>
      </c>
      <c r="D35" s="81">
        <v>8.1</v>
      </c>
      <c r="E35" s="116">
        <f t="shared" si="1"/>
        <v>0.16561030464117765</v>
      </c>
      <c r="G35" s="121">
        <v>0.78</v>
      </c>
      <c r="H35" s="160">
        <v>41.85</v>
      </c>
      <c r="I35" s="121">
        <v>13.97</v>
      </c>
      <c r="J35" s="121">
        <v>0.52</v>
      </c>
      <c r="K35" s="125">
        <v>0.5</v>
      </c>
      <c r="L35" s="53">
        <v>0.16561030464117765</v>
      </c>
      <c r="M35" s="159">
        <f t="shared" si="2"/>
        <v>16.561030464117763</v>
      </c>
    </row>
    <row r="36" spans="2:13">
      <c r="B36" s="21" t="s">
        <v>38</v>
      </c>
      <c r="C36" s="33" t="s">
        <v>39</v>
      </c>
      <c r="D36" s="81">
        <v>6.5</v>
      </c>
      <c r="E36" s="116">
        <f t="shared" si="1"/>
        <v>0.13289715804538949</v>
      </c>
      <c r="G36" s="121">
        <v>0.85</v>
      </c>
      <c r="H36" s="160">
        <v>48.61</v>
      </c>
      <c r="I36" s="121">
        <v>13.96</v>
      </c>
      <c r="J36" s="121">
        <v>0.48</v>
      </c>
      <c r="K36" s="125">
        <v>0.5</v>
      </c>
      <c r="L36" s="53">
        <v>0.13289715804538949</v>
      </c>
      <c r="M36" s="159">
        <f t="shared" si="2"/>
        <v>13.289715804538949</v>
      </c>
    </row>
    <row r="37" spans="2:13">
      <c r="B37" s="21" t="s">
        <v>40</v>
      </c>
      <c r="C37" s="33" t="s">
        <v>41</v>
      </c>
      <c r="D37" s="81">
        <v>8.1</v>
      </c>
      <c r="E37" s="116">
        <f t="shared" si="1"/>
        <v>0.16561030464117765</v>
      </c>
      <c r="G37" s="121">
        <v>0.8</v>
      </c>
      <c r="H37" s="160">
        <v>43.85</v>
      </c>
      <c r="I37" s="121">
        <v>14.55</v>
      </c>
      <c r="J37" s="121">
        <v>0.5</v>
      </c>
      <c r="K37" s="125">
        <v>1</v>
      </c>
      <c r="L37" s="53">
        <v>0.16561030464117765</v>
      </c>
      <c r="M37" s="159">
        <f t="shared" si="2"/>
        <v>16.561030464117763</v>
      </c>
    </row>
    <row r="38" spans="2:13">
      <c r="B38" s="21" t="s">
        <v>42</v>
      </c>
      <c r="C38" s="33" t="s">
        <v>43</v>
      </c>
      <c r="D38" s="81">
        <v>4.0999999999999996</v>
      </c>
      <c r="E38" s="116">
        <f t="shared" si="1"/>
        <v>8.3827438151707206E-2</v>
      </c>
      <c r="G38" s="121">
        <v>0.72</v>
      </c>
      <c r="H38" s="161">
        <v>36.770000000000003</v>
      </c>
      <c r="I38" s="121">
        <v>15.81</v>
      </c>
      <c r="J38" s="121">
        <v>0.65</v>
      </c>
      <c r="K38" s="125">
        <v>3.8</v>
      </c>
      <c r="L38" s="53">
        <v>8.3827438151707206E-2</v>
      </c>
      <c r="M38" s="159">
        <f t="shared" si="2"/>
        <v>8.3827438151707199</v>
      </c>
    </row>
    <row r="39" spans="2:13">
      <c r="B39" s="21" t="s">
        <v>44</v>
      </c>
      <c r="C39" s="33" t="s">
        <v>47</v>
      </c>
      <c r="D39" s="81">
        <v>2.2000000000000002</v>
      </c>
      <c r="E39" s="116">
        <f t="shared" si="1"/>
        <v>4.4980576569208751E-2</v>
      </c>
      <c r="G39" s="121">
        <v>0.81</v>
      </c>
      <c r="H39" s="161">
        <v>29.79</v>
      </c>
      <c r="I39" s="121">
        <v>16.13</v>
      </c>
      <c r="J39" s="121">
        <v>0.8</v>
      </c>
      <c r="K39" s="125">
        <v>7</v>
      </c>
      <c r="L39" s="53">
        <v>4.4980576569208751E-2</v>
      </c>
      <c r="M39" s="159">
        <f t="shared" si="2"/>
        <v>4.4980576569208752</v>
      </c>
    </row>
    <row r="40" spans="2:13">
      <c r="B40" s="21" t="s">
        <v>48</v>
      </c>
      <c r="C40" s="33" t="s">
        <v>49</v>
      </c>
      <c r="D40" s="81">
        <v>2.8</v>
      </c>
      <c r="E40" s="116">
        <f t="shared" si="1"/>
        <v>5.7248006542629314E-2</v>
      </c>
      <c r="G40" s="126">
        <v>0.7</v>
      </c>
      <c r="H40" s="160">
        <v>22.5</v>
      </c>
      <c r="I40" s="121">
        <v>17.73</v>
      </c>
      <c r="J40" s="121">
        <v>0.81</v>
      </c>
      <c r="K40" s="127">
        <v>7.5</v>
      </c>
      <c r="L40" s="54">
        <v>5.7248006542629314E-2</v>
      </c>
      <c r="M40" s="159">
        <f t="shared" si="2"/>
        <v>5.7248006542629311</v>
      </c>
    </row>
    <row r="41" spans="2:13">
      <c r="B41" s="21" t="s">
        <v>50</v>
      </c>
      <c r="C41" s="33" t="s">
        <v>51</v>
      </c>
      <c r="D41" s="81">
        <v>1.1000000000000001</v>
      </c>
      <c r="E41" s="116">
        <f t="shared" si="1"/>
        <v>2.2490288284604375E-2</v>
      </c>
      <c r="G41" s="126">
        <v>0.75</v>
      </c>
      <c r="H41" s="160">
        <v>23.69</v>
      </c>
      <c r="I41" s="121">
        <v>17.489999999999998</v>
      </c>
      <c r="J41" s="121">
        <v>1.08</v>
      </c>
      <c r="K41" s="127">
        <v>8</v>
      </c>
      <c r="L41" s="54">
        <v>2.2490288284604375E-2</v>
      </c>
      <c r="M41" s="159">
        <f t="shared" si="2"/>
        <v>2.2490288284604376</v>
      </c>
    </row>
    <row r="42" spans="2:13">
      <c r="B42" s="21" t="s">
        <v>52</v>
      </c>
      <c r="C42" s="33" t="s">
        <v>53</v>
      </c>
      <c r="D42" s="81">
        <v>1.3</v>
      </c>
      <c r="E42" s="116">
        <f t="shared" si="1"/>
        <v>2.6579431609077896E-2</v>
      </c>
      <c r="G42" s="126">
        <v>0.64</v>
      </c>
      <c r="H42" s="160">
        <v>23.92</v>
      </c>
      <c r="I42" s="121">
        <v>17.7</v>
      </c>
      <c r="J42" s="121">
        <v>1.18</v>
      </c>
      <c r="K42" s="127">
        <v>8</v>
      </c>
      <c r="L42" s="54">
        <v>2.6579431609077896E-2</v>
      </c>
      <c r="M42" s="159">
        <f t="shared" si="2"/>
        <v>2.6579431609077897</v>
      </c>
    </row>
    <row r="43" spans="2:13">
      <c r="B43" s="21" t="s">
        <v>54</v>
      </c>
      <c r="C43" s="33" t="s">
        <v>55</v>
      </c>
      <c r="D43" s="81">
        <v>0.24</v>
      </c>
      <c r="E43" s="116">
        <f t="shared" si="1"/>
        <v>4.9069719893682267E-3</v>
      </c>
      <c r="G43" s="126">
        <v>0.82</v>
      </c>
      <c r="H43" s="160">
        <v>33.92</v>
      </c>
      <c r="I43" s="121">
        <v>16.09</v>
      </c>
      <c r="J43" s="121">
        <v>1.75</v>
      </c>
      <c r="K43" s="127">
        <v>4</v>
      </c>
      <c r="L43" s="54">
        <v>4.9069719893682267E-3</v>
      </c>
      <c r="M43" s="159">
        <f t="shared" si="2"/>
        <v>0.49069719893682268</v>
      </c>
    </row>
    <row r="44" spans="2:13">
      <c r="B44" s="32" t="s">
        <v>56</v>
      </c>
      <c r="C44" s="33"/>
      <c r="D44" s="81">
        <v>0.87</v>
      </c>
      <c r="E44" s="116">
        <f t="shared" si="1"/>
        <v>1.7787773461459822E-2</v>
      </c>
      <c r="G44" s="128">
        <v>0.96</v>
      </c>
      <c r="H44" s="162">
        <v>31.79</v>
      </c>
      <c r="I44" s="123">
        <v>15.9</v>
      </c>
      <c r="J44" s="124">
        <v>0.78</v>
      </c>
      <c r="K44" s="129">
        <v>0.5</v>
      </c>
      <c r="L44" s="54">
        <v>1.7787773461459822E-2</v>
      </c>
      <c r="M44" s="159">
        <f t="shared" si="2"/>
        <v>1.7787773461459822</v>
      </c>
    </row>
    <row r="45" spans="2:13">
      <c r="B45" s="23" t="s">
        <v>29</v>
      </c>
      <c r="C45" s="34"/>
      <c r="D45" s="95">
        <f>D32-SUM(D33:D44)</f>
        <v>1.0899999999999963</v>
      </c>
      <c r="E45" s="117">
        <f>D45/D32</f>
        <v>2.1799999999999927E-2</v>
      </c>
    </row>
    <row r="46" spans="2:13">
      <c r="B46" s="24"/>
      <c r="C46" s="25"/>
      <c r="D46" s="25"/>
      <c r="E46" s="118"/>
    </row>
    <row r="47" spans="2:13">
      <c r="B47" s="26" t="s">
        <v>30</v>
      </c>
      <c r="C47" s="27"/>
      <c r="D47" s="96">
        <f>SUM(D33:D44)</f>
        <v>48.910000000000004</v>
      </c>
      <c r="E47" s="119">
        <f>D47/D32</f>
        <v>0.97820000000000007</v>
      </c>
    </row>
    <row r="48" spans="2:13">
      <c r="B48" s="23" t="s">
        <v>31</v>
      </c>
      <c r="C48" s="28"/>
      <c r="D48" s="97">
        <f>SUM(D33:D44)+D45</f>
        <v>50</v>
      </c>
      <c r="E48" s="120">
        <f>D48/D32</f>
        <v>1</v>
      </c>
    </row>
  </sheetData>
  <mergeCells count="3">
    <mergeCell ref="C4:D4"/>
    <mergeCell ref="C5:D5"/>
    <mergeCell ref="C6:D6"/>
  </mergeCells>
  <pageMargins left="0.7" right="0.7" top="0.75" bottom="0.75" header="0.3" footer="0.3"/>
  <pageSetup paperSize="9" scale="60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89"/>
  <sheetViews>
    <sheetView showGridLines="0" zoomScaleNormal="100" zoomScaleSheetLayoutView="110" workbookViewId="0">
      <pane xSplit="6" ySplit="9" topLeftCell="G22" activePane="bottomRight" state="frozen"/>
      <selection pane="topRight" activeCell="G1" sqref="G1"/>
      <selection pane="bottomLeft" activeCell="A10" sqref="A10"/>
      <selection pane="bottomRight" activeCell="I36" sqref="I36"/>
    </sheetView>
  </sheetViews>
  <sheetFormatPr defaultRowHeight="15"/>
  <cols>
    <col min="1" max="1" width="6" style="56" customWidth="1"/>
    <col min="2" max="3" width="9.140625" style="56"/>
    <col min="4" max="4" width="9.85546875" style="56" customWidth="1"/>
    <col min="5" max="6" width="9.140625" style="56"/>
    <col min="7" max="7" width="10.42578125" style="56" bestFit="1" customWidth="1"/>
    <col min="8" max="11" width="9.140625" style="56"/>
    <col min="12" max="12" width="13.7109375" style="56" customWidth="1"/>
    <col min="13" max="13" width="9.140625" style="56"/>
    <col min="14" max="14" width="9.140625" style="56" customWidth="1"/>
    <col min="15" max="15" width="9.5703125" style="56" bestFit="1" customWidth="1"/>
    <col min="16" max="18" width="9.140625" style="56"/>
    <col min="19" max="19" width="9.5703125" style="56" bestFit="1" customWidth="1"/>
    <col min="20" max="16384" width="9.140625" style="56"/>
  </cols>
  <sheetData>
    <row r="1" spans="2:13">
      <c r="B1" s="55" t="s">
        <v>0</v>
      </c>
      <c r="C1" s="55"/>
      <c r="E1" s="151" t="str">
        <f>'Raw Coal analysis'!C1</f>
        <v>PR6_B5_0CL1</v>
      </c>
      <c r="F1" s="151"/>
      <c r="G1" s="151"/>
    </row>
    <row r="2" spans="2:13">
      <c r="B2" s="55" t="s">
        <v>1</v>
      </c>
      <c r="C2" s="55"/>
      <c r="E2" s="151" t="s">
        <v>92</v>
      </c>
      <c r="F2" s="151"/>
      <c r="G2" s="151"/>
    </row>
    <row r="3" spans="2:13">
      <c r="B3" s="55" t="s">
        <v>2</v>
      </c>
      <c r="C3" s="55"/>
      <c r="E3" s="151" t="str">
        <f>'Raw Coal analysis'!C3</f>
        <v>2019.11.07</v>
      </c>
      <c r="F3" s="151"/>
      <c r="G3" s="151"/>
    </row>
    <row r="4" spans="2:13">
      <c r="B4" s="55" t="s">
        <v>3</v>
      </c>
      <c r="C4" s="55"/>
      <c r="E4" s="151" t="str">
        <f>'Raw Coal analysis'!C4</f>
        <v>Process team</v>
      </c>
      <c r="F4" s="151"/>
      <c r="G4" s="151"/>
    </row>
    <row r="5" spans="2:13">
      <c r="B5" s="55" t="s">
        <v>4</v>
      </c>
      <c r="C5" s="55"/>
      <c r="E5" s="151" t="str">
        <f>'Raw Coal analysis'!C5</f>
        <v>2019.10.30</v>
      </c>
      <c r="F5" s="151"/>
      <c r="G5" s="151"/>
    </row>
    <row r="6" spans="2:13">
      <c r="B6" s="55"/>
      <c r="C6" s="55"/>
    </row>
    <row r="7" spans="2:13">
      <c r="B7" s="57"/>
      <c r="C7" s="58"/>
      <c r="D7" s="59"/>
      <c r="E7" s="60"/>
      <c r="F7" s="61"/>
      <c r="G7" s="143" t="s">
        <v>57</v>
      </c>
      <c r="H7" s="143"/>
      <c r="I7" s="143"/>
      <c r="J7" s="143"/>
      <c r="K7" s="143"/>
      <c r="L7" s="143"/>
      <c r="M7" s="144"/>
    </row>
    <row r="8" spans="2:13" ht="30">
      <c r="B8" s="145" t="s">
        <v>58</v>
      </c>
      <c r="C8" s="146"/>
      <c r="D8" s="62" t="s">
        <v>59</v>
      </c>
      <c r="E8" s="147" t="s">
        <v>60</v>
      </c>
      <c r="F8" s="148"/>
      <c r="G8" s="149" t="s">
        <v>61</v>
      </c>
      <c r="H8" s="150"/>
      <c r="I8" s="36" t="s">
        <v>10</v>
      </c>
      <c r="J8" s="36" t="s">
        <v>100</v>
      </c>
      <c r="K8" s="36" t="s">
        <v>93</v>
      </c>
      <c r="L8" s="36" t="s">
        <v>14</v>
      </c>
      <c r="M8" s="36" t="s">
        <v>63</v>
      </c>
    </row>
    <row r="9" spans="2:13">
      <c r="B9" s="63"/>
      <c r="C9" s="63"/>
      <c r="D9" s="63"/>
      <c r="E9" s="63" t="s">
        <v>64</v>
      </c>
      <c r="F9" s="63" t="s">
        <v>65</v>
      </c>
      <c r="G9" s="63" t="s">
        <v>66</v>
      </c>
      <c r="H9" s="63" t="s">
        <v>67</v>
      </c>
      <c r="I9" s="63" t="s">
        <v>67</v>
      </c>
      <c r="J9" s="63" t="s">
        <v>68</v>
      </c>
      <c r="K9" s="63" t="s">
        <v>69</v>
      </c>
      <c r="L9" s="63" t="s">
        <v>69</v>
      </c>
      <c r="M9" s="63"/>
    </row>
    <row r="10" spans="2:13">
      <c r="B10" s="64" t="s">
        <v>70</v>
      </c>
      <c r="C10" s="65" t="s">
        <v>71</v>
      </c>
      <c r="D10" s="66"/>
      <c r="E10" s="67"/>
      <c r="F10" s="67"/>
      <c r="G10" s="134">
        <v>5000</v>
      </c>
      <c r="H10" s="67"/>
      <c r="I10" s="67"/>
      <c r="J10" s="67"/>
      <c r="K10" s="67"/>
      <c r="L10" s="67"/>
      <c r="M10" s="67"/>
    </row>
    <row r="11" spans="2:13">
      <c r="B11" s="68"/>
      <c r="C11" s="69"/>
      <c r="D11" s="70"/>
      <c r="E11" s="71">
        <v>1.25</v>
      </c>
      <c r="F11" s="98">
        <v>1.3</v>
      </c>
      <c r="G11" s="94">
        <v>0</v>
      </c>
      <c r="H11" s="73">
        <f t="shared" ref="H11:H24" si="0">G11/$G$25*100</f>
        <v>0</v>
      </c>
      <c r="I11" s="87">
        <v>0</v>
      </c>
      <c r="J11" s="87">
        <v>0</v>
      </c>
      <c r="K11" s="87">
        <v>0</v>
      </c>
      <c r="L11" s="87">
        <v>0</v>
      </c>
      <c r="M11" s="101">
        <v>0</v>
      </c>
    </row>
    <row r="12" spans="2:13">
      <c r="B12" s="68"/>
      <c r="C12" s="69"/>
      <c r="D12" s="70"/>
      <c r="E12" s="74">
        <f>F11</f>
        <v>1.3</v>
      </c>
      <c r="F12" s="72">
        <v>1.325</v>
      </c>
      <c r="G12" s="94">
        <v>0</v>
      </c>
      <c r="H12" s="73">
        <f t="shared" si="0"/>
        <v>0</v>
      </c>
      <c r="I12" s="87">
        <v>0</v>
      </c>
      <c r="J12" s="87">
        <v>0</v>
      </c>
      <c r="K12" s="87">
        <v>0</v>
      </c>
      <c r="L12" s="87">
        <v>0</v>
      </c>
      <c r="M12" s="101">
        <v>0</v>
      </c>
    </row>
    <row r="13" spans="2:13">
      <c r="B13" s="68"/>
      <c r="C13" s="69"/>
      <c r="D13" s="70"/>
      <c r="E13" s="74">
        <f t="shared" ref="E13:E24" si="1">F12</f>
        <v>1.325</v>
      </c>
      <c r="F13" s="72">
        <v>1.35</v>
      </c>
      <c r="G13" s="94">
        <v>47.8</v>
      </c>
      <c r="H13" s="73">
        <f t="shared" si="0"/>
        <v>0.95783905097787758</v>
      </c>
      <c r="I13" s="87">
        <v>14.96</v>
      </c>
      <c r="J13" s="87">
        <v>0.83</v>
      </c>
      <c r="K13" s="87">
        <v>17.850000000000001</v>
      </c>
      <c r="L13" s="87">
        <v>0.57999999999999996</v>
      </c>
      <c r="M13" s="101">
        <v>8.5</v>
      </c>
    </row>
    <row r="14" spans="2:13">
      <c r="B14" s="68"/>
      <c r="C14" s="69"/>
      <c r="D14" s="70"/>
      <c r="E14" s="74">
        <f t="shared" si="1"/>
        <v>1.35</v>
      </c>
      <c r="F14" s="72">
        <v>1.375</v>
      </c>
      <c r="G14" s="94">
        <v>488.7</v>
      </c>
      <c r="H14" s="73">
        <f t="shared" si="0"/>
        <v>9.7928021801859568</v>
      </c>
      <c r="I14" s="87">
        <v>17.260000000000002</v>
      </c>
      <c r="J14" s="87">
        <v>0.85</v>
      </c>
      <c r="K14" s="87">
        <v>17.23</v>
      </c>
      <c r="L14" s="87">
        <v>0.52</v>
      </c>
      <c r="M14" s="101">
        <v>3</v>
      </c>
    </row>
    <row r="15" spans="2:13">
      <c r="B15" s="68"/>
      <c r="C15" s="69"/>
      <c r="D15" s="70"/>
      <c r="E15" s="74">
        <f t="shared" si="1"/>
        <v>1.375</v>
      </c>
      <c r="F15" s="72">
        <v>1.4</v>
      </c>
      <c r="G15" s="94">
        <v>495.1</v>
      </c>
      <c r="H15" s="73">
        <f t="shared" si="0"/>
        <v>9.9210484129528709</v>
      </c>
      <c r="I15" s="87">
        <v>17.7</v>
      </c>
      <c r="J15" s="87">
        <v>0.69</v>
      </c>
      <c r="K15" s="87">
        <v>19.16</v>
      </c>
      <c r="L15" s="87">
        <v>0.56000000000000005</v>
      </c>
      <c r="M15" s="101">
        <v>2.5</v>
      </c>
    </row>
    <row r="16" spans="2:13">
      <c r="B16" s="68"/>
      <c r="C16" s="69"/>
      <c r="D16" s="70"/>
      <c r="E16" s="74">
        <f t="shared" si="1"/>
        <v>1.4</v>
      </c>
      <c r="F16" s="72">
        <v>1.425</v>
      </c>
      <c r="G16" s="94">
        <v>665.1</v>
      </c>
      <c r="H16" s="73">
        <f t="shared" si="0"/>
        <v>13.327588970823983</v>
      </c>
      <c r="I16" s="87">
        <v>19.829999999999998</v>
      </c>
      <c r="J16" s="87">
        <v>0.82</v>
      </c>
      <c r="K16" s="87">
        <v>16.91</v>
      </c>
      <c r="L16" s="87">
        <v>0.62</v>
      </c>
      <c r="M16" s="101">
        <v>2</v>
      </c>
    </row>
    <row r="17" spans="2:20">
      <c r="B17" s="68"/>
      <c r="C17" s="69"/>
      <c r="D17" s="70"/>
      <c r="E17" s="74">
        <f t="shared" si="1"/>
        <v>1.425</v>
      </c>
      <c r="F17" s="72">
        <v>1.45</v>
      </c>
      <c r="G17" s="94">
        <v>565.4</v>
      </c>
      <c r="H17" s="73">
        <f t="shared" si="0"/>
        <v>11.329753126001924</v>
      </c>
      <c r="I17" s="87">
        <v>21.73</v>
      </c>
      <c r="J17" s="87">
        <v>0.75</v>
      </c>
      <c r="K17" s="87">
        <v>16.010000000000002</v>
      </c>
      <c r="L17" s="87">
        <v>0.47</v>
      </c>
      <c r="M17" s="101">
        <v>1</v>
      </c>
    </row>
    <row r="18" spans="2:20">
      <c r="B18" s="68"/>
      <c r="C18" s="69"/>
      <c r="D18" s="70"/>
      <c r="E18" s="74">
        <f t="shared" si="1"/>
        <v>1.45</v>
      </c>
      <c r="F18" s="72">
        <v>1.5</v>
      </c>
      <c r="G18" s="94">
        <v>947.2</v>
      </c>
      <c r="H18" s="73">
        <f t="shared" si="0"/>
        <v>18.980442449503048</v>
      </c>
      <c r="I18" s="87">
        <v>25.8</v>
      </c>
      <c r="J18" s="87">
        <v>0.67</v>
      </c>
      <c r="K18" s="87">
        <v>15.55</v>
      </c>
      <c r="L18" s="87">
        <v>0.45</v>
      </c>
      <c r="M18" s="101">
        <v>1</v>
      </c>
    </row>
    <row r="19" spans="2:20">
      <c r="B19" s="68"/>
      <c r="C19" s="69"/>
      <c r="D19" s="70"/>
      <c r="E19" s="74">
        <f t="shared" si="1"/>
        <v>1.5</v>
      </c>
      <c r="F19" s="72">
        <v>1.6</v>
      </c>
      <c r="G19" s="94">
        <v>456.7</v>
      </c>
      <c r="H19" s="73">
        <f t="shared" si="0"/>
        <v>9.1515710163513955</v>
      </c>
      <c r="I19" s="87">
        <v>32.57</v>
      </c>
      <c r="J19" s="87">
        <v>0.64</v>
      </c>
      <c r="K19" s="87">
        <v>14.18</v>
      </c>
      <c r="L19" s="87">
        <v>0.54</v>
      </c>
      <c r="M19" s="101">
        <v>1</v>
      </c>
      <c r="O19" s="94">
        <v>18.2</v>
      </c>
      <c r="Q19" s="87">
        <v>9.52</v>
      </c>
      <c r="S19" s="94">
        <v>18.2</v>
      </c>
      <c r="T19" s="87">
        <v>9.52</v>
      </c>
    </row>
    <row r="20" spans="2:20">
      <c r="B20" s="68"/>
      <c r="C20" s="69"/>
      <c r="D20" s="70"/>
      <c r="E20" s="74">
        <f t="shared" si="1"/>
        <v>1.6</v>
      </c>
      <c r="F20" s="72">
        <v>1.7</v>
      </c>
      <c r="G20" s="94">
        <v>292.10000000000002</v>
      </c>
      <c r="H20" s="73">
        <f t="shared" si="0"/>
        <v>5.8532382173773652</v>
      </c>
      <c r="I20" s="87">
        <v>38.25</v>
      </c>
      <c r="J20" s="87">
        <v>0.66</v>
      </c>
      <c r="K20" s="87">
        <v>13.13</v>
      </c>
      <c r="L20" s="87">
        <v>0.48</v>
      </c>
      <c r="M20" s="101">
        <v>0.5</v>
      </c>
      <c r="O20" s="94">
        <v>20.7</v>
      </c>
      <c r="Q20" s="87">
        <v>11.65</v>
      </c>
      <c r="S20" s="94">
        <v>37.1</v>
      </c>
      <c r="T20" s="87">
        <v>3.87</v>
      </c>
    </row>
    <row r="21" spans="2:20">
      <c r="B21" s="68"/>
      <c r="C21" s="69"/>
      <c r="D21" s="70"/>
      <c r="E21" s="74">
        <f t="shared" si="1"/>
        <v>1.7</v>
      </c>
      <c r="F21" s="72">
        <v>1.8</v>
      </c>
      <c r="G21" s="94">
        <v>55.9</v>
      </c>
      <c r="H21" s="73">
        <f t="shared" si="0"/>
        <v>1.1201506893235011</v>
      </c>
      <c r="I21" s="87">
        <v>52.44</v>
      </c>
      <c r="J21" s="87">
        <v>0.91</v>
      </c>
      <c r="K21" s="87">
        <v>11.71</v>
      </c>
      <c r="L21" s="87">
        <v>0.4</v>
      </c>
      <c r="M21" s="101">
        <v>0</v>
      </c>
      <c r="O21" s="94">
        <v>37.1</v>
      </c>
      <c r="Q21" s="87">
        <v>3.87</v>
      </c>
      <c r="S21" s="94">
        <v>163</v>
      </c>
      <c r="T21" s="87">
        <v>3.6</v>
      </c>
    </row>
    <row r="22" spans="2:20">
      <c r="B22" s="68"/>
      <c r="C22" s="69"/>
      <c r="D22" s="70"/>
      <c r="E22" s="74">
        <f t="shared" si="1"/>
        <v>1.8</v>
      </c>
      <c r="F22" s="72">
        <v>2</v>
      </c>
      <c r="G22" s="94">
        <v>30.1</v>
      </c>
      <c r="H22" s="73">
        <f t="shared" si="0"/>
        <v>0.60315806348188528</v>
      </c>
      <c r="I22" s="87">
        <v>64.62</v>
      </c>
      <c r="J22" s="87">
        <v>1.0900000000000001</v>
      </c>
      <c r="K22" s="87">
        <v>9.32</v>
      </c>
      <c r="L22" s="87">
        <v>0.28999999999999998</v>
      </c>
      <c r="M22" s="101">
        <v>0</v>
      </c>
      <c r="O22" s="94">
        <v>52.2</v>
      </c>
      <c r="Q22" s="87">
        <v>7.86</v>
      </c>
      <c r="S22" s="94">
        <v>378.9</v>
      </c>
      <c r="T22" s="87">
        <v>4.8099999999999996</v>
      </c>
    </row>
    <row r="23" spans="2:20">
      <c r="B23" s="68"/>
      <c r="C23" s="69"/>
      <c r="D23" s="70"/>
      <c r="E23" s="74">
        <f t="shared" si="1"/>
        <v>2</v>
      </c>
      <c r="F23" s="72">
        <v>2.2000000000000002</v>
      </c>
      <c r="G23" s="94">
        <v>0</v>
      </c>
      <c r="H23" s="73">
        <f t="shared" si="0"/>
        <v>0</v>
      </c>
      <c r="I23" s="87">
        <v>0</v>
      </c>
      <c r="J23" s="87">
        <v>0</v>
      </c>
      <c r="K23" s="87">
        <v>0</v>
      </c>
      <c r="L23" s="87">
        <v>0</v>
      </c>
      <c r="M23" s="101">
        <v>0</v>
      </c>
      <c r="O23" s="94">
        <v>163</v>
      </c>
      <c r="Q23" s="87">
        <v>3.6</v>
      </c>
      <c r="S23" s="94">
        <v>146.5</v>
      </c>
      <c r="T23" s="87">
        <v>7.03</v>
      </c>
    </row>
    <row r="24" spans="2:20">
      <c r="B24" s="68"/>
      <c r="C24" s="69"/>
      <c r="D24" s="70"/>
      <c r="E24" s="74">
        <f t="shared" si="1"/>
        <v>2.2000000000000002</v>
      </c>
      <c r="F24" s="72">
        <v>2.8</v>
      </c>
      <c r="G24" s="94">
        <v>946.3</v>
      </c>
      <c r="H24" s="73">
        <f t="shared" si="0"/>
        <v>18.9624078230202</v>
      </c>
      <c r="I24" s="87">
        <v>84.5</v>
      </c>
      <c r="J24" s="87">
        <v>2.0299999999999998</v>
      </c>
      <c r="K24" s="87">
        <v>7.68</v>
      </c>
      <c r="L24" s="87">
        <v>0.53</v>
      </c>
      <c r="M24" s="101">
        <v>0</v>
      </c>
      <c r="O24" s="94">
        <v>378.9</v>
      </c>
      <c r="Q24" s="87">
        <v>4.8099999999999996</v>
      </c>
      <c r="S24" s="94">
        <v>166.9</v>
      </c>
      <c r="T24" s="87">
        <v>11.02</v>
      </c>
    </row>
    <row r="25" spans="2:20">
      <c r="B25" s="142" t="s">
        <v>72</v>
      </c>
      <c r="C25" s="143"/>
      <c r="D25" s="143"/>
      <c r="E25" s="75"/>
      <c r="F25" s="76"/>
      <c r="G25" s="77">
        <f>SUM(G11:G24)</f>
        <v>4990.3999999999996</v>
      </c>
      <c r="H25" s="78">
        <f>SUM(H11:H24)</f>
        <v>100</v>
      </c>
      <c r="I25" s="79">
        <f>SUMPRODUCT($H$11:$H$24,I11:I24)/$H$25</f>
        <v>35.81125901731324</v>
      </c>
      <c r="J25" s="79">
        <f t="shared" ref="J25:L25" si="2">SUMPRODUCT($H$11:$H$24,J11:J24)/$H$25</f>
        <v>0.97997855883295926</v>
      </c>
      <c r="K25" s="79">
        <f t="shared" si="2"/>
        <v>14.488114379608851</v>
      </c>
      <c r="L25" s="79">
        <f t="shared" si="2"/>
        <v>0.51757334081436368</v>
      </c>
      <c r="M25" s="88">
        <f>SUMPRODUCT($H$11:$H$24,M11:M24)/$H$25</f>
        <v>1.3136622314844499</v>
      </c>
      <c r="O25" s="94">
        <v>146.5</v>
      </c>
      <c r="Q25" s="87">
        <v>7.03</v>
      </c>
      <c r="S25" s="94">
        <v>163.69999999999999</v>
      </c>
      <c r="T25" s="87">
        <v>14.69</v>
      </c>
    </row>
    <row r="26" spans="2:20">
      <c r="B26" s="64" t="s">
        <v>73</v>
      </c>
      <c r="C26" s="65" t="s">
        <v>74</v>
      </c>
      <c r="D26" s="66"/>
      <c r="E26" s="67"/>
      <c r="F26" s="67"/>
      <c r="G26" s="134">
        <v>5000</v>
      </c>
      <c r="H26" s="67"/>
      <c r="I26" s="67"/>
      <c r="J26" s="67"/>
      <c r="K26" s="67"/>
      <c r="L26" s="67"/>
      <c r="M26" s="67"/>
      <c r="O26" s="94">
        <v>166.9</v>
      </c>
      <c r="Q26" s="87">
        <v>11.02</v>
      </c>
      <c r="S26" s="94">
        <v>230.2</v>
      </c>
      <c r="T26" s="87">
        <v>17.18</v>
      </c>
    </row>
    <row r="27" spans="2:20">
      <c r="B27" s="68"/>
      <c r="C27" s="69"/>
      <c r="D27" s="70"/>
      <c r="E27" s="71">
        <v>1.25</v>
      </c>
      <c r="F27" s="72">
        <v>1.3</v>
      </c>
      <c r="G27" s="94">
        <v>18.2</v>
      </c>
      <c r="H27" s="73">
        <f t="shared" ref="H27:H40" si="3">G27/$G$41*100</f>
        <v>0.36185060739209091</v>
      </c>
      <c r="I27" s="87">
        <v>9.52</v>
      </c>
      <c r="J27" s="87">
        <v>0.52</v>
      </c>
      <c r="K27" s="87">
        <v>21.31</v>
      </c>
      <c r="L27" s="87">
        <v>0.61</v>
      </c>
      <c r="M27" s="101">
        <v>9</v>
      </c>
      <c r="O27" s="94">
        <v>163.69999999999999</v>
      </c>
      <c r="Q27" s="87">
        <v>14.69</v>
      </c>
      <c r="S27" s="94">
        <v>174.5</v>
      </c>
      <c r="T27" s="87">
        <v>19.32</v>
      </c>
    </row>
    <row r="28" spans="2:20">
      <c r="B28" s="68"/>
      <c r="C28" s="69"/>
      <c r="D28" s="70"/>
      <c r="E28" s="74">
        <f>F27</f>
        <v>1.3</v>
      </c>
      <c r="F28" s="72">
        <v>1.325</v>
      </c>
      <c r="G28" s="94">
        <v>20.7</v>
      </c>
      <c r="H28" s="73">
        <f t="shared" si="3"/>
        <v>0.41155536115474073</v>
      </c>
      <c r="I28" s="87">
        <v>11.65</v>
      </c>
      <c r="J28" s="87">
        <v>0.53</v>
      </c>
      <c r="K28" s="87">
        <v>20.350000000000001</v>
      </c>
      <c r="L28" s="87">
        <v>0.57999999999999996</v>
      </c>
      <c r="M28" s="101">
        <v>8.5</v>
      </c>
      <c r="O28" s="94">
        <v>230.2</v>
      </c>
      <c r="Q28" s="87">
        <v>17.18</v>
      </c>
      <c r="S28" s="94">
        <v>295.5</v>
      </c>
      <c r="T28" s="87">
        <v>24.78</v>
      </c>
    </row>
    <row r="29" spans="2:20">
      <c r="B29" s="68"/>
      <c r="C29" s="69"/>
      <c r="D29" s="70"/>
      <c r="E29" s="74">
        <f t="shared" ref="E29:E40" si="4">F28</f>
        <v>1.325</v>
      </c>
      <c r="F29" s="72">
        <v>1.35</v>
      </c>
      <c r="G29" s="94">
        <v>161.69999999999999</v>
      </c>
      <c r="H29" s="73">
        <f t="shared" si="3"/>
        <v>3.2149034733681923</v>
      </c>
      <c r="I29" s="87">
        <v>12.61</v>
      </c>
      <c r="J29" s="87">
        <v>0.48</v>
      </c>
      <c r="K29" s="87">
        <v>19.850000000000001</v>
      </c>
      <c r="L29" s="87">
        <v>0.53</v>
      </c>
      <c r="M29" s="101">
        <v>8.5</v>
      </c>
      <c r="O29" s="94">
        <v>174.5</v>
      </c>
      <c r="Q29" s="87">
        <v>19.32</v>
      </c>
      <c r="S29" s="94">
        <v>256.8</v>
      </c>
      <c r="T29" s="87">
        <v>30.13</v>
      </c>
    </row>
    <row r="30" spans="2:20">
      <c r="B30" s="68"/>
      <c r="C30" s="69"/>
      <c r="D30" s="70"/>
      <c r="E30" s="74">
        <f t="shared" si="4"/>
        <v>1.35</v>
      </c>
      <c r="F30" s="72">
        <v>1.375</v>
      </c>
      <c r="G30" s="94">
        <v>374.2</v>
      </c>
      <c r="H30" s="73">
        <f t="shared" si="3"/>
        <v>7.4398075431934299</v>
      </c>
      <c r="I30" s="87">
        <v>14.94</v>
      </c>
      <c r="J30" s="87">
        <v>0.53</v>
      </c>
      <c r="K30" s="87">
        <v>18.84</v>
      </c>
      <c r="L30" s="87">
        <v>0.53</v>
      </c>
      <c r="M30" s="101">
        <v>7</v>
      </c>
      <c r="O30" s="94">
        <v>295.5</v>
      </c>
      <c r="Q30" s="87">
        <v>24.78</v>
      </c>
      <c r="S30" s="94">
        <v>141</v>
      </c>
      <c r="T30" s="87">
        <v>2.8</v>
      </c>
    </row>
    <row r="31" spans="2:20">
      <c r="B31" s="68"/>
      <c r="C31" s="69"/>
      <c r="D31" s="70"/>
      <c r="E31" s="74">
        <f t="shared" si="4"/>
        <v>1.375</v>
      </c>
      <c r="F31" s="72">
        <v>1.4</v>
      </c>
      <c r="G31" s="94">
        <v>391.5</v>
      </c>
      <c r="H31" s="73">
        <f t="shared" si="3"/>
        <v>7.7837644392309668</v>
      </c>
      <c r="I31" s="87">
        <v>17.59</v>
      </c>
      <c r="J31" s="87">
        <v>0.52</v>
      </c>
      <c r="K31" s="87">
        <v>18.059999999999999</v>
      </c>
      <c r="L31" s="87">
        <v>0.49</v>
      </c>
      <c r="M31" s="101">
        <v>4.5</v>
      </c>
      <c r="O31" s="94">
        <v>256.8</v>
      </c>
      <c r="Q31" s="87">
        <v>30.13</v>
      </c>
      <c r="S31" s="94">
        <v>124.7</v>
      </c>
      <c r="T31" s="87">
        <v>2.64</v>
      </c>
    </row>
    <row r="32" spans="2:20">
      <c r="B32" s="68"/>
      <c r="C32" s="69"/>
      <c r="D32" s="70"/>
      <c r="E32" s="74">
        <f t="shared" si="4"/>
        <v>1.4</v>
      </c>
      <c r="F32" s="72">
        <v>1.425</v>
      </c>
      <c r="G32" s="94">
        <v>495.1</v>
      </c>
      <c r="H32" s="73">
        <f t="shared" si="3"/>
        <v>9.8435294351551761</v>
      </c>
      <c r="I32" s="87">
        <v>20.75</v>
      </c>
      <c r="J32" s="87">
        <v>0.46</v>
      </c>
      <c r="K32" s="87">
        <v>17.2</v>
      </c>
      <c r="L32" s="87">
        <v>0.51</v>
      </c>
      <c r="M32" s="101">
        <v>3</v>
      </c>
      <c r="O32" s="94">
        <v>141</v>
      </c>
      <c r="Q32" s="87">
        <v>2.8</v>
      </c>
      <c r="S32" s="94">
        <v>101.9</v>
      </c>
      <c r="T32" s="87">
        <v>5.39</v>
      </c>
    </row>
    <row r="33" spans="2:20">
      <c r="B33" s="68"/>
      <c r="C33" s="69"/>
      <c r="D33" s="70"/>
      <c r="E33" s="74">
        <f t="shared" si="4"/>
        <v>1.425</v>
      </c>
      <c r="F33" s="72">
        <v>1.45</v>
      </c>
      <c r="G33" s="94">
        <v>436.2</v>
      </c>
      <c r="H33" s="73">
        <f t="shared" si="3"/>
        <v>8.6724854365071469</v>
      </c>
      <c r="I33" s="87">
        <v>22.29</v>
      </c>
      <c r="J33" s="87">
        <v>0.5</v>
      </c>
      <c r="K33" s="87">
        <v>16.45</v>
      </c>
      <c r="L33" s="87">
        <v>0.52</v>
      </c>
      <c r="M33" s="101">
        <v>1</v>
      </c>
      <c r="O33" s="94">
        <v>124.7</v>
      </c>
      <c r="Q33" s="87">
        <v>2.64</v>
      </c>
      <c r="S33" s="94">
        <v>13.3</v>
      </c>
      <c r="T33" s="87">
        <v>10.29</v>
      </c>
    </row>
    <row r="34" spans="2:20">
      <c r="B34" s="68"/>
      <c r="C34" s="69"/>
      <c r="D34" s="70"/>
      <c r="E34" s="74">
        <f t="shared" si="4"/>
        <v>1.45</v>
      </c>
      <c r="F34" s="72">
        <v>1.5</v>
      </c>
      <c r="G34" s="94">
        <v>613.5</v>
      </c>
      <c r="H34" s="73">
        <f t="shared" si="3"/>
        <v>12.197546573354273</v>
      </c>
      <c r="I34" s="87">
        <v>27.02</v>
      </c>
      <c r="J34" s="87">
        <v>0.48</v>
      </c>
      <c r="K34" s="87">
        <v>15.06</v>
      </c>
      <c r="L34" s="87">
        <v>0.5</v>
      </c>
      <c r="M34" s="101">
        <v>1</v>
      </c>
      <c r="O34" s="94">
        <v>101.9</v>
      </c>
      <c r="Q34" s="87">
        <v>5.39</v>
      </c>
      <c r="S34" s="94">
        <v>68.2</v>
      </c>
      <c r="T34" s="87">
        <v>12.03</v>
      </c>
    </row>
    <row r="35" spans="2:20">
      <c r="B35" s="68"/>
      <c r="C35" s="69"/>
      <c r="D35" s="70"/>
      <c r="E35" s="74">
        <f t="shared" si="4"/>
        <v>1.5</v>
      </c>
      <c r="F35" s="72">
        <v>1.6</v>
      </c>
      <c r="G35" s="94">
        <v>589.29999999999995</v>
      </c>
      <c r="H35" s="73">
        <f t="shared" si="3"/>
        <v>11.716404556931822</v>
      </c>
      <c r="I35" s="87">
        <v>32.869999999999997</v>
      </c>
      <c r="J35" s="87">
        <v>0.44</v>
      </c>
      <c r="K35" s="87">
        <v>14.09</v>
      </c>
      <c r="L35" s="87">
        <v>0.5</v>
      </c>
      <c r="M35" s="101">
        <v>1</v>
      </c>
      <c r="O35" s="94">
        <v>13.3</v>
      </c>
      <c r="Q35" s="87">
        <v>10.29</v>
      </c>
      <c r="S35" s="94">
        <v>65.2</v>
      </c>
      <c r="T35" s="87">
        <v>13.86</v>
      </c>
    </row>
    <row r="36" spans="2:20">
      <c r="B36" s="68"/>
      <c r="C36" s="69"/>
      <c r="D36" s="70"/>
      <c r="E36" s="74">
        <f t="shared" si="4"/>
        <v>1.6</v>
      </c>
      <c r="F36" s="72">
        <v>1.7</v>
      </c>
      <c r="G36" s="94">
        <v>228.4</v>
      </c>
      <c r="H36" s="73">
        <f t="shared" si="3"/>
        <v>4.5410263037556913</v>
      </c>
      <c r="I36" s="87">
        <v>41.15</v>
      </c>
      <c r="J36" s="87">
        <v>0.53</v>
      </c>
      <c r="K36" s="87">
        <v>13.07</v>
      </c>
      <c r="L36" s="87">
        <v>0.5</v>
      </c>
      <c r="M36" s="101">
        <v>0</v>
      </c>
      <c r="O36" s="94">
        <v>68.2</v>
      </c>
      <c r="Q36" s="87">
        <v>12.03</v>
      </c>
      <c r="S36" s="94">
        <v>58.2</v>
      </c>
      <c r="T36" s="87">
        <v>16.04</v>
      </c>
    </row>
    <row r="37" spans="2:20">
      <c r="B37" s="68"/>
      <c r="C37" s="69"/>
      <c r="D37" s="70"/>
      <c r="E37" s="74">
        <f t="shared" si="4"/>
        <v>1.7</v>
      </c>
      <c r="F37" s="72">
        <v>1.8</v>
      </c>
      <c r="G37" s="94">
        <v>69.7</v>
      </c>
      <c r="H37" s="73">
        <f t="shared" si="3"/>
        <v>1.385768534902678</v>
      </c>
      <c r="I37" s="87">
        <v>48.25</v>
      </c>
      <c r="J37" s="87">
        <v>0.68</v>
      </c>
      <c r="K37" s="87">
        <v>12.63</v>
      </c>
      <c r="L37" s="87">
        <v>0.96</v>
      </c>
      <c r="M37" s="101">
        <v>0</v>
      </c>
      <c r="O37" s="94">
        <v>65.2</v>
      </c>
      <c r="Q37" s="87">
        <v>13.86</v>
      </c>
      <c r="S37" s="94">
        <v>51.1</v>
      </c>
      <c r="T37" s="87">
        <v>19.16</v>
      </c>
    </row>
    <row r="38" spans="2:20">
      <c r="B38" s="68"/>
      <c r="C38" s="69"/>
      <c r="D38" s="70"/>
      <c r="E38" s="74">
        <f t="shared" si="4"/>
        <v>1.8</v>
      </c>
      <c r="F38" s="72">
        <v>2</v>
      </c>
      <c r="G38" s="94">
        <v>54.1</v>
      </c>
      <c r="H38" s="73">
        <f t="shared" si="3"/>
        <v>1.0756108714237429</v>
      </c>
      <c r="I38" s="87">
        <v>56.85</v>
      </c>
      <c r="J38" s="87">
        <v>0.98</v>
      </c>
      <c r="K38" s="87">
        <v>11.3</v>
      </c>
      <c r="L38" s="87">
        <v>1.59</v>
      </c>
      <c r="M38" s="101">
        <v>0</v>
      </c>
      <c r="O38" s="94">
        <v>58.2</v>
      </c>
      <c r="Q38" s="87">
        <v>16.04</v>
      </c>
      <c r="S38" s="94">
        <v>85.1</v>
      </c>
      <c r="T38" s="87">
        <v>24.15</v>
      </c>
    </row>
    <row r="39" spans="2:20">
      <c r="B39" s="68"/>
      <c r="C39" s="69"/>
      <c r="D39" s="70"/>
      <c r="E39" s="74">
        <f t="shared" si="4"/>
        <v>2</v>
      </c>
      <c r="F39" s="72">
        <v>2.2000000000000002</v>
      </c>
      <c r="G39" s="94">
        <v>111.8</v>
      </c>
      <c r="H39" s="73">
        <f t="shared" si="3"/>
        <v>2.2227965882657013</v>
      </c>
      <c r="I39" s="87">
        <v>69.930000000000007</v>
      </c>
      <c r="J39" s="87">
        <v>1.69</v>
      </c>
      <c r="K39" s="87">
        <v>9.89</v>
      </c>
      <c r="L39" s="87">
        <v>0.49</v>
      </c>
      <c r="M39" s="101">
        <v>0</v>
      </c>
      <c r="O39" s="94">
        <v>51.1</v>
      </c>
      <c r="Q39" s="87">
        <v>19.16</v>
      </c>
      <c r="S39" s="163">
        <f>SUM(S19:S38)</f>
        <v>2739.9999999999995</v>
      </c>
      <c r="T39" s="163">
        <f>SUMPRODUCT(S19:S38,T19:T38)/S39</f>
        <v>13.681780656934308</v>
      </c>
    </row>
    <row r="40" spans="2:20">
      <c r="B40" s="68"/>
      <c r="C40" s="69"/>
      <c r="D40" s="70"/>
      <c r="E40" s="74">
        <f t="shared" si="4"/>
        <v>2.2000000000000002</v>
      </c>
      <c r="F40" s="72">
        <v>2.8</v>
      </c>
      <c r="G40" s="94">
        <v>1465.3</v>
      </c>
      <c r="H40" s="73">
        <f t="shared" si="3"/>
        <v>29.132950275364333</v>
      </c>
      <c r="I40" s="87">
        <v>84.49</v>
      </c>
      <c r="J40" s="87">
        <v>2.1800000000000002</v>
      </c>
      <c r="K40" s="87">
        <v>8.4499999999999993</v>
      </c>
      <c r="L40" s="87">
        <v>0.2</v>
      </c>
      <c r="M40" s="101">
        <v>0</v>
      </c>
      <c r="O40" s="94">
        <v>85.1</v>
      </c>
      <c r="Q40" s="87">
        <v>24.15</v>
      </c>
    </row>
    <row r="41" spans="2:20">
      <c r="B41" s="142" t="s">
        <v>72</v>
      </c>
      <c r="C41" s="143"/>
      <c r="D41" s="143"/>
      <c r="E41" s="75"/>
      <c r="F41" s="76"/>
      <c r="G41" s="77">
        <f>SUM(G27:G40)</f>
        <v>5029.7000000000007</v>
      </c>
      <c r="H41" s="78">
        <f>SUM(H27:H40)</f>
        <v>99.999999999999986</v>
      </c>
      <c r="I41" s="99">
        <f>SUMPRODUCT($H$27:$H$40,I27:I40)/$H$41</f>
        <v>43.40863550509971</v>
      </c>
      <c r="J41" s="99">
        <f t="shared" ref="J41:L41" si="5">SUMPRODUCT($H$27:$H$40,J27:J40)/$H$41</f>
        <v>1.0148392548263316</v>
      </c>
      <c r="K41" s="99">
        <f t="shared" si="5"/>
        <v>13.785578265105277</v>
      </c>
      <c r="L41" s="99">
        <f t="shared" si="5"/>
        <v>0.43634173012306893</v>
      </c>
      <c r="M41" s="100">
        <f>SUMPRODUCT($H$27:$H$40,M27:M40)/$H$41</f>
        <v>1.8330417321112591</v>
      </c>
      <c r="O41" s="163">
        <f>SUM(O19:O40)</f>
        <v>2812.8999999999992</v>
      </c>
      <c r="Q41" s="163">
        <f>SUMPRODUCT(O19:O40,Q19:Q40)/O41</f>
        <v>13.558791994027519</v>
      </c>
    </row>
    <row r="42" spans="2:20">
      <c r="B42" s="64" t="s">
        <v>75</v>
      </c>
      <c r="C42" s="65" t="s">
        <v>76</v>
      </c>
      <c r="D42" s="66"/>
      <c r="E42" s="67"/>
      <c r="F42" s="67"/>
      <c r="G42" s="134">
        <v>3000</v>
      </c>
      <c r="H42" s="67"/>
      <c r="I42" s="67"/>
      <c r="J42" s="67"/>
      <c r="K42" s="67"/>
      <c r="L42" s="67"/>
      <c r="M42" s="67"/>
    </row>
    <row r="43" spans="2:20">
      <c r="B43" s="68"/>
      <c r="C43" s="69"/>
      <c r="D43" s="70"/>
      <c r="E43" s="71">
        <v>1.25</v>
      </c>
      <c r="F43" s="72">
        <v>1.3</v>
      </c>
      <c r="G43" s="94">
        <v>37.1</v>
      </c>
      <c r="H43" s="73">
        <f>G43/$G$57*100</f>
        <v>1.2433809236544004</v>
      </c>
      <c r="I43" s="87">
        <v>3.87</v>
      </c>
      <c r="J43" s="87">
        <v>0.72</v>
      </c>
      <c r="K43" s="87">
        <v>23.25</v>
      </c>
      <c r="L43" s="87">
        <v>0.59</v>
      </c>
      <c r="M43" s="101">
        <v>9</v>
      </c>
    </row>
    <row r="44" spans="2:20">
      <c r="B44" s="68"/>
      <c r="C44" s="69"/>
      <c r="D44" s="70"/>
      <c r="E44" s="74">
        <f>F43</f>
        <v>1.3</v>
      </c>
      <c r="F44" s="72">
        <v>1.325</v>
      </c>
      <c r="G44" s="94">
        <v>52.2</v>
      </c>
      <c r="H44" s="73">
        <f t="shared" ref="H44:H56" si="6">G44/$G$57*100</f>
        <v>1.749447013874925</v>
      </c>
      <c r="I44" s="87">
        <v>7.86</v>
      </c>
      <c r="J44" s="87">
        <v>0.63</v>
      </c>
      <c r="K44" s="87">
        <v>22.06</v>
      </c>
      <c r="L44" s="87">
        <v>0.56000000000000005</v>
      </c>
      <c r="M44" s="101">
        <v>9</v>
      </c>
    </row>
    <row r="45" spans="2:20">
      <c r="B45" s="68"/>
      <c r="C45" s="69"/>
      <c r="D45" s="70"/>
      <c r="E45" s="74">
        <f t="shared" ref="E45:E56" si="7">F44</f>
        <v>1.325</v>
      </c>
      <c r="F45" s="72">
        <v>1.35</v>
      </c>
      <c r="G45" s="94">
        <v>116.7</v>
      </c>
      <c r="H45" s="73">
        <f t="shared" si="6"/>
        <v>3.9111200482606079</v>
      </c>
      <c r="I45" s="87">
        <v>10.88</v>
      </c>
      <c r="J45" s="87">
        <v>0.55000000000000004</v>
      </c>
      <c r="K45" s="87">
        <v>20.5</v>
      </c>
      <c r="L45" s="87">
        <v>0.55000000000000004</v>
      </c>
      <c r="M45" s="101">
        <v>8</v>
      </c>
    </row>
    <row r="46" spans="2:20">
      <c r="B46" s="68"/>
      <c r="C46" s="69"/>
      <c r="D46" s="70"/>
      <c r="E46" s="74">
        <f t="shared" si="7"/>
        <v>1.35</v>
      </c>
      <c r="F46" s="72">
        <v>1.375</v>
      </c>
      <c r="G46" s="94">
        <v>175.9</v>
      </c>
      <c r="H46" s="73">
        <f t="shared" si="6"/>
        <v>5.8951672364099474</v>
      </c>
      <c r="I46" s="87">
        <v>13.54</v>
      </c>
      <c r="J46" s="87">
        <v>0.57999999999999996</v>
      </c>
      <c r="K46" s="87">
        <v>19.29</v>
      </c>
      <c r="L46" s="87">
        <v>0.63</v>
      </c>
      <c r="M46" s="101">
        <v>7.5</v>
      </c>
    </row>
    <row r="47" spans="2:20">
      <c r="B47" s="68"/>
      <c r="C47" s="69"/>
      <c r="D47" s="70"/>
      <c r="E47" s="74">
        <f t="shared" si="7"/>
        <v>1.375</v>
      </c>
      <c r="F47" s="72">
        <v>1.4</v>
      </c>
      <c r="G47" s="94">
        <v>181.4</v>
      </c>
      <c r="H47" s="73">
        <f t="shared" si="6"/>
        <v>6.0794959447684169</v>
      </c>
      <c r="I47" s="87">
        <v>17.16</v>
      </c>
      <c r="J47" s="87">
        <v>0.59</v>
      </c>
      <c r="K47" s="87">
        <v>17.829999999999998</v>
      </c>
      <c r="L47" s="87">
        <v>0.52</v>
      </c>
      <c r="M47" s="101">
        <v>6</v>
      </c>
    </row>
    <row r="48" spans="2:20">
      <c r="B48" s="68"/>
      <c r="C48" s="69"/>
      <c r="D48" s="70"/>
      <c r="E48" s="74">
        <f t="shared" si="7"/>
        <v>1.4</v>
      </c>
      <c r="F48" s="72">
        <v>1.425</v>
      </c>
      <c r="G48" s="94">
        <v>253.9</v>
      </c>
      <c r="H48" s="73">
        <f t="shared" si="6"/>
        <v>8.5092834640391448</v>
      </c>
      <c r="I48" s="87">
        <v>19.739999999999998</v>
      </c>
      <c r="J48" s="87">
        <v>0.45</v>
      </c>
      <c r="K48" s="87">
        <v>17.28</v>
      </c>
      <c r="L48" s="87">
        <v>0.49</v>
      </c>
      <c r="M48" s="101">
        <v>4</v>
      </c>
    </row>
    <row r="49" spans="2:13">
      <c r="B49" s="68"/>
      <c r="C49" s="69"/>
      <c r="D49" s="70"/>
      <c r="E49" s="74">
        <f t="shared" si="7"/>
        <v>1.425</v>
      </c>
      <c r="F49" s="72">
        <v>1.45</v>
      </c>
      <c r="G49" s="94">
        <v>189.7</v>
      </c>
      <c r="H49" s="73">
        <f t="shared" si="6"/>
        <v>6.3576647228366516</v>
      </c>
      <c r="I49" s="87">
        <v>21.3</v>
      </c>
      <c r="J49" s="87">
        <v>0.59</v>
      </c>
      <c r="K49" s="87">
        <v>16.25</v>
      </c>
      <c r="L49" s="87">
        <v>0.47</v>
      </c>
      <c r="M49" s="101">
        <v>1.5</v>
      </c>
    </row>
    <row r="50" spans="2:13">
      <c r="B50" s="68"/>
      <c r="C50" s="69"/>
      <c r="D50" s="70"/>
      <c r="E50" s="74">
        <f t="shared" si="7"/>
        <v>1.45</v>
      </c>
      <c r="F50" s="72">
        <v>1.5</v>
      </c>
      <c r="G50" s="94">
        <v>289.39999999999998</v>
      </c>
      <c r="H50" s="73">
        <f t="shared" si="6"/>
        <v>9.699041490716537</v>
      </c>
      <c r="I50" s="87">
        <v>25.39</v>
      </c>
      <c r="J50" s="87">
        <v>0.54</v>
      </c>
      <c r="K50" s="87">
        <v>15.52</v>
      </c>
      <c r="L50" s="87">
        <v>0.52</v>
      </c>
      <c r="M50" s="101">
        <v>1</v>
      </c>
    </row>
    <row r="51" spans="2:13">
      <c r="B51" s="68"/>
      <c r="C51" s="69"/>
      <c r="D51" s="70"/>
      <c r="E51" s="74">
        <f t="shared" si="7"/>
        <v>1.5</v>
      </c>
      <c r="F51" s="72">
        <v>1.6</v>
      </c>
      <c r="G51" s="94">
        <v>269.5</v>
      </c>
      <c r="H51" s="73">
        <f t="shared" si="6"/>
        <v>9.0321067095649852</v>
      </c>
      <c r="I51" s="87">
        <v>31.39</v>
      </c>
      <c r="J51" s="87">
        <v>0.53</v>
      </c>
      <c r="K51" s="87">
        <v>14.83</v>
      </c>
      <c r="L51" s="87">
        <v>0.54</v>
      </c>
      <c r="M51" s="101">
        <v>1</v>
      </c>
    </row>
    <row r="52" spans="2:13">
      <c r="B52" s="68"/>
      <c r="C52" s="69"/>
      <c r="D52" s="70"/>
      <c r="E52" s="74">
        <f t="shared" si="7"/>
        <v>1.6</v>
      </c>
      <c r="F52" s="72">
        <v>1.7</v>
      </c>
      <c r="G52" s="94">
        <v>120.4</v>
      </c>
      <c r="H52" s="73">
        <f t="shared" si="6"/>
        <v>4.0351229975199416</v>
      </c>
      <c r="I52" s="87">
        <v>40.04</v>
      </c>
      <c r="J52" s="87">
        <v>0.69</v>
      </c>
      <c r="K52" s="87">
        <v>13.89</v>
      </c>
      <c r="L52" s="87">
        <v>0.85</v>
      </c>
      <c r="M52" s="101">
        <v>0.5</v>
      </c>
    </row>
    <row r="53" spans="2:13">
      <c r="B53" s="68"/>
      <c r="C53" s="69"/>
      <c r="D53" s="70"/>
      <c r="E53" s="74">
        <f t="shared" si="7"/>
        <v>1.7</v>
      </c>
      <c r="F53" s="72">
        <v>1.8</v>
      </c>
      <c r="G53" s="94">
        <v>45.1</v>
      </c>
      <c r="H53" s="73">
        <f t="shared" si="6"/>
        <v>1.5114954085394465</v>
      </c>
      <c r="I53" s="87">
        <v>48.56</v>
      </c>
      <c r="J53" s="87">
        <v>0.83</v>
      </c>
      <c r="K53" s="87">
        <v>13.14</v>
      </c>
      <c r="L53" s="87">
        <v>0.7</v>
      </c>
      <c r="M53" s="101">
        <v>0.5</v>
      </c>
    </row>
    <row r="54" spans="2:13">
      <c r="B54" s="68"/>
      <c r="C54" s="69"/>
      <c r="D54" s="70"/>
      <c r="E54" s="74">
        <f t="shared" si="7"/>
        <v>1.8</v>
      </c>
      <c r="F54" s="72">
        <v>2</v>
      </c>
      <c r="G54" s="94">
        <v>60.9</v>
      </c>
      <c r="H54" s="73">
        <f t="shared" si="6"/>
        <v>2.0410215161874121</v>
      </c>
      <c r="I54" s="87">
        <v>58.05</v>
      </c>
      <c r="J54" s="87">
        <v>1.23</v>
      </c>
      <c r="K54" s="87">
        <v>12.1</v>
      </c>
      <c r="L54" s="87">
        <v>0.79</v>
      </c>
      <c r="M54" s="101">
        <v>0.5</v>
      </c>
    </row>
    <row r="55" spans="2:13">
      <c r="B55" s="68"/>
      <c r="C55" s="69"/>
      <c r="D55" s="70"/>
      <c r="E55" s="74">
        <f t="shared" si="7"/>
        <v>2</v>
      </c>
      <c r="F55" s="72">
        <v>2.2000000000000002</v>
      </c>
      <c r="G55" s="94">
        <v>80.8</v>
      </c>
      <c r="H55" s="73">
        <f t="shared" si="6"/>
        <v>2.7079562973389639</v>
      </c>
      <c r="I55" s="87">
        <v>71.37</v>
      </c>
      <c r="J55" s="87">
        <v>1.9</v>
      </c>
      <c r="K55" s="87">
        <v>9.9600000000000009</v>
      </c>
      <c r="L55" s="87">
        <v>0.63</v>
      </c>
      <c r="M55" s="101">
        <v>0</v>
      </c>
    </row>
    <row r="56" spans="2:13">
      <c r="B56" s="68"/>
      <c r="C56" s="69"/>
      <c r="D56" s="70"/>
      <c r="E56" s="74">
        <f t="shared" si="7"/>
        <v>2.2000000000000002</v>
      </c>
      <c r="F56" s="72">
        <v>2.8</v>
      </c>
      <c r="G56" s="94">
        <v>1110.8</v>
      </c>
      <c r="H56" s="73">
        <f t="shared" si="6"/>
        <v>37.227696226288629</v>
      </c>
      <c r="I56" s="87">
        <v>83.47</v>
      </c>
      <c r="J56" s="87">
        <v>2.73</v>
      </c>
      <c r="K56" s="87">
        <v>8.26</v>
      </c>
      <c r="L56" s="87">
        <v>0.16</v>
      </c>
      <c r="M56" s="101">
        <v>0</v>
      </c>
    </row>
    <row r="57" spans="2:13">
      <c r="B57" s="142" t="s">
        <v>72</v>
      </c>
      <c r="C57" s="143"/>
      <c r="D57" s="143"/>
      <c r="E57" s="75"/>
      <c r="F57" s="76"/>
      <c r="G57" s="77">
        <f>SUM(G43:G56)</f>
        <v>2983.7999999999997</v>
      </c>
      <c r="H57" s="78">
        <f>SUM(H43:H56)</f>
        <v>100.00000000000001</v>
      </c>
      <c r="I57" s="79">
        <f>SUMPRODUCT($H$43:$H$56,I43:I56)/$H$57</f>
        <v>47.325367316844286</v>
      </c>
      <c r="J57" s="79">
        <f t="shared" ref="J57:M57" si="8">SUMPRODUCT($H$43:$H$56,J43:J56)/$H$57</f>
        <v>1.4208526040619345</v>
      </c>
      <c r="K57" s="79">
        <f t="shared" si="8"/>
        <v>13.396995777196862</v>
      </c>
      <c r="L57" s="79">
        <f t="shared" si="8"/>
        <v>0.41580937060124679</v>
      </c>
      <c r="M57" s="88">
        <f t="shared" si="8"/>
        <v>2.0501374086735034</v>
      </c>
    </row>
    <row r="58" spans="2:13">
      <c r="B58" s="64" t="s">
        <v>77</v>
      </c>
      <c r="C58" s="65" t="s">
        <v>78</v>
      </c>
      <c r="D58" s="66"/>
      <c r="E58" s="67"/>
      <c r="F58" s="67"/>
      <c r="G58" s="134">
        <v>3000</v>
      </c>
      <c r="H58" s="67"/>
      <c r="I58" s="67"/>
      <c r="J58" s="67"/>
      <c r="K58" s="67"/>
      <c r="L58" s="67"/>
      <c r="M58" s="67"/>
    </row>
    <row r="59" spans="2:13">
      <c r="B59" s="68"/>
      <c r="C59" s="69"/>
      <c r="D59" s="70"/>
      <c r="E59" s="71">
        <v>1.25</v>
      </c>
      <c r="F59" s="72">
        <v>1.3</v>
      </c>
      <c r="G59" s="94">
        <v>163</v>
      </c>
      <c r="H59" s="73">
        <f>G59/$G$73*100</f>
        <v>5.3699677143045399</v>
      </c>
      <c r="I59" s="87">
        <v>3.6</v>
      </c>
      <c r="J59" s="87">
        <v>0.78</v>
      </c>
      <c r="K59" s="87">
        <v>22.77</v>
      </c>
      <c r="L59" s="87">
        <v>0.6</v>
      </c>
      <c r="M59" s="101">
        <v>9</v>
      </c>
    </row>
    <row r="60" spans="2:13">
      <c r="B60" s="68"/>
      <c r="C60" s="69"/>
      <c r="D60" s="70"/>
      <c r="E60" s="74">
        <f>F59</f>
        <v>1.3</v>
      </c>
      <c r="F60" s="72">
        <v>1.325</v>
      </c>
      <c r="G60" s="94">
        <v>378.9</v>
      </c>
      <c r="H60" s="73">
        <f t="shared" ref="H60:H72" si="9">G60/$G$73*100</f>
        <v>12.482704091717732</v>
      </c>
      <c r="I60" s="87">
        <v>4.8099999999999996</v>
      </c>
      <c r="J60" s="87">
        <v>0.69</v>
      </c>
      <c r="K60" s="87">
        <v>22.61</v>
      </c>
      <c r="L60" s="87">
        <v>0.6</v>
      </c>
      <c r="M60" s="101">
        <v>8.5</v>
      </c>
    </row>
    <row r="61" spans="2:13">
      <c r="B61" s="68"/>
      <c r="C61" s="69"/>
      <c r="D61" s="70"/>
      <c r="E61" s="74">
        <f t="shared" ref="E61:E72" si="10">F60</f>
        <v>1.325</v>
      </c>
      <c r="F61" s="72">
        <v>1.35</v>
      </c>
      <c r="G61" s="94">
        <v>146.5</v>
      </c>
      <c r="H61" s="73">
        <f t="shared" si="9"/>
        <v>4.8263820254332224</v>
      </c>
      <c r="I61" s="87">
        <v>7.03</v>
      </c>
      <c r="J61" s="87">
        <v>0.88</v>
      </c>
      <c r="K61" s="87">
        <v>21.51</v>
      </c>
      <c r="L61" s="87">
        <v>0.56999999999999995</v>
      </c>
      <c r="M61" s="101">
        <v>8</v>
      </c>
    </row>
    <row r="62" spans="2:13">
      <c r="B62" s="68"/>
      <c r="C62" s="69"/>
      <c r="D62" s="70"/>
      <c r="E62" s="74">
        <f t="shared" si="10"/>
        <v>1.35</v>
      </c>
      <c r="F62" s="72">
        <v>1.375</v>
      </c>
      <c r="G62" s="94">
        <v>166.9</v>
      </c>
      <c r="H62" s="73">
        <f t="shared" si="9"/>
        <v>5.4984516044013976</v>
      </c>
      <c r="I62" s="87">
        <v>11.02</v>
      </c>
      <c r="J62" s="87">
        <v>0.66</v>
      </c>
      <c r="K62" s="87">
        <v>20.94</v>
      </c>
      <c r="L62" s="87">
        <v>0.61</v>
      </c>
      <c r="M62" s="101">
        <v>7.5</v>
      </c>
    </row>
    <row r="63" spans="2:13">
      <c r="B63" s="68"/>
      <c r="C63" s="69"/>
      <c r="D63" s="70"/>
      <c r="E63" s="74">
        <f t="shared" si="10"/>
        <v>1.375</v>
      </c>
      <c r="F63" s="72">
        <v>1.4</v>
      </c>
      <c r="G63" s="94">
        <v>163.69999999999999</v>
      </c>
      <c r="H63" s="73">
        <f t="shared" si="9"/>
        <v>5.3930289253475658</v>
      </c>
      <c r="I63" s="87">
        <v>14.69</v>
      </c>
      <c r="J63" s="87">
        <v>0.75</v>
      </c>
      <c r="K63" s="87">
        <v>18.78</v>
      </c>
      <c r="L63" s="87">
        <v>0.52</v>
      </c>
      <c r="M63" s="101">
        <v>7</v>
      </c>
    </row>
    <row r="64" spans="2:13">
      <c r="B64" s="68"/>
      <c r="C64" s="69"/>
      <c r="D64" s="70"/>
      <c r="E64" s="74">
        <f t="shared" si="10"/>
        <v>1.4</v>
      </c>
      <c r="F64" s="72">
        <v>1.425</v>
      </c>
      <c r="G64" s="94">
        <v>230.2</v>
      </c>
      <c r="H64" s="73">
        <f t="shared" si="9"/>
        <v>7.5838439744350001</v>
      </c>
      <c r="I64" s="87">
        <v>17.18</v>
      </c>
      <c r="J64" s="87">
        <v>0.83</v>
      </c>
      <c r="K64" s="87">
        <v>17.690000000000001</v>
      </c>
      <c r="L64" s="87">
        <v>0.51</v>
      </c>
      <c r="M64" s="101">
        <v>4.5</v>
      </c>
    </row>
    <row r="65" spans="2:13">
      <c r="B65" s="68"/>
      <c r="C65" s="69"/>
      <c r="D65" s="70"/>
      <c r="E65" s="74">
        <f t="shared" si="10"/>
        <v>1.425</v>
      </c>
      <c r="F65" s="72">
        <v>1.45</v>
      </c>
      <c r="G65" s="94">
        <v>174.5</v>
      </c>
      <c r="H65" s="73">
        <f t="shared" si="9"/>
        <v>5.7488304671542467</v>
      </c>
      <c r="I65" s="87">
        <v>19.32</v>
      </c>
      <c r="J65" s="87">
        <v>0.77</v>
      </c>
      <c r="K65" s="87">
        <v>17.079999999999998</v>
      </c>
      <c r="L65" s="87">
        <v>0.49</v>
      </c>
      <c r="M65" s="101">
        <v>3.5</v>
      </c>
    </row>
    <row r="66" spans="2:13">
      <c r="B66" s="68"/>
      <c r="C66" s="69"/>
      <c r="D66" s="70"/>
      <c r="E66" s="74">
        <f t="shared" si="10"/>
        <v>1.45</v>
      </c>
      <c r="F66" s="72">
        <v>1.5</v>
      </c>
      <c r="G66" s="94">
        <v>295.5</v>
      </c>
      <c r="H66" s="73">
        <f t="shared" si="9"/>
        <v>9.7351255188772488</v>
      </c>
      <c r="I66" s="87">
        <v>24.78</v>
      </c>
      <c r="J66" s="87">
        <v>0.81</v>
      </c>
      <c r="K66" s="87">
        <v>15.67</v>
      </c>
      <c r="L66" s="87">
        <v>0.51</v>
      </c>
      <c r="M66" s="101">
        <v>1</v>
      </c>
    </row>
    <row r="67" spans="2:13">
      <c r="B67" s="68"/>
      <c r="C67" s="69"/>
      <c r="D67" s="70"/>
      <c r="E67" s="74">
        <f t="shared" si="10"/>
        <v>1.5</v>
      </c>
      <c r="F67" s="72">
        <v>1.6</v>
      </c>
      <c r="G67" s="94">
        <v>256.8</v>
      </c>
      <c r="H67" s="73">
        <f t="shared" si="9"/>
        <v>8.4601699940699753</v>
      </c>
      <c r="I67" s="87">
        <v>30.13</v>
      </c>
      <c r="J67" s="87">
        <v>0.74</v>
      </c>
      <c r="K67" s="87">
        <v>15.32</v>
      </c>
      <c r="L67" s="87">
        <v>0.52</v>
      </c>
      <c r="M67" s="101">
        <v>1</v>
      </c>
    </row>
    <row r="68" spans="2:13">
      <c r="B68" s="68"/>
      <c r="C68" s="69"/>
      <c r="D68" s="70"/>
      <c r="E68" s="74">
        <f t="shared" si="10"/>
        <v>1.6</v>
      </c>
      <c r="F68" s="72">
        <v>1.7</v>
      </c>
      <c r="G68" s="94">
        <v>125.8</v>
      </c>
      <c r="H68" s="73">
        <f t="shared" si="9"/>
        <v>4.1444290703037501</v>
      </c>
      <c r="I68" s="87">
        <v>38.369999999999997</v>
      </c>
      <c r="J68" s="87">
        <v>0.89</v>
      </c>
      <c r="K68" s="87">
        <v>13.94</v>
      </c>
      <c r="L68" s="87">
        <v>0.59</v>
      </c>
      <c r="M68" s="101">
        <v>1</v>
      </c>
    </row>
    <row r="69" spans="2:13">
      <c r="B69" s="68"/>
      <c r="C69" s="69"/>
      <c r="D69" s="70"/>
      <c r="E69" s="74">
        <f t="shared" si="10"/>
        <v>1.7</v>
      </c>
      <c r="F69" s="72">
        <v>1.8</v>
      </c>
      <c r="G69" s="94">
        <v>60.6</v>
      </c>
      <c r="H69" s="73">
        <f t="shared" si="9"/>
        <v>1.9964419845819334</v>
      </c>
      <c r="I69" s="87">
        <v>47.41</v>
      </c>
      <c r="J69" s="87">
        <v>1.27</v>
      </c>
      <c r="K69" s="87">
        <v>12.98</v>
      </c>
      <c r="L69" s="87">
        <v>0.75</v>
      </c>
      <c r="M69" s="101">
        <v>0.5</v>
      </c>
    </row>
    <row r="70" spans="2:13">
      <c r="B70" s="68"/>
      <c r="C70" s="69"/>
      <c r="D70" s="70"/>
      <c r="E70" s="74">
        <f t="shared" si="10"/>
        <v>1.8</v>
      </c>
      <c r="F70" s="72">
        <v>2</v>
      </c>
      <c r="G70" s="94">
        <v>71.2</v>
      </c>
      <c r="H70" s="73">
        <f t="shared" si="9"/>
        <v>2.3456546089477506</v>
      </c>
      <c r="I70" s="87">
        <v>56.53</v>
      </c>
      <c r="J70" s="87">
        <v>2.1800000000000002</v>
      </c>
      <c r="K70" s="87">
        <v>12.56</v>
      </c>
      <c r="L70" s="87">
        <v>0.82</v>
      </c>
      <c r="M70" s="101">
        <v>0</v>
      </c>
    </row>
    <row r="71" spans="2:13">
      <c r="B71" s="68"/>
      <c r="C71" s="69"/>
      <c r="D71" s="70"/>
      <c r="E71" s="74">
        <f t="shared" si="10"/>
        <v>2</v>
      </c>
      <c r="F71" s="72">
        <v>2.2000000000000002</v>
      </c>
      <c r="G71" s="94">
        <v>88.7</v>
      </c>
      <c r="H71" s="73">
        <f t="shared" si="9"/>
        <v>2.9221848850233911</v>
      </c>
      <c r="I71" s="87">
        <v>66.510000000000005</v>
      </c>
      <c r="J71" s="87">
        <v>3.92</v>
      </c>
      <c r="K71" s="87">
        <v>9.98</v>
      </c>
      <c r="L71" s="87">
        <v>0.62</v>
      </c>
      <c r="M71" s="101">
        <v>0</v>
      </c>
    </row>
    <row r="72" spans="2:13">
      <c r="B72" s="68"/>
      <c r="C72" s="69"/>
      <c r="D72" s="70"/>
      <c r="E72" s="74">
        <f t="shared" si="10"/>
        <v>2.2000000000000002</v>
      </c>
      <c r="F72" s="72">
        <v>2.8</v>
      </c>
      <c r="G72" s="94">
        <v>713.1</v>
      </c>
      <c r="H72" s="73">
        <f t="shared" si="9"/>
        <v>23.492785135402258</v>
      </c>
      <c r="I72" s="87">
        <v>80.290000000000006</v>
      </c>
      <c r="J72" s="87">
        <v>5.28</v>
      </c>
      <c r="K72" s="87">
        <v>8.0399999999999991</v>
      </c>
      <c r="L72" s="87">
        <v>0.56000000000000005</v>
      </c>
      <c r="M72" s="101">
        <v>0</v>
      </c>
    </row>
    <row r="73" spans="2:13">
      <c r="B73" s="142" t="s">
        <v>72</v>
      </c>
      <c r="C73" s="143"/>
      <c r="D73" s="143"/>
      <c r="E73" s="75"/>
      <c r="F73" s="76"/>
      <c r="G73" s="77">
        <f>SUM(G59:G72)</f>
        <v>3035.3999999999996</v>
      </c>
      <c r="H73" s="78">
        <f>SUM(H59:H72)</f>
        <v>100.00000000000001</v>
      </c>
      <c r="I73" s="79">
        <f>SUMPRODUCT($H$59:$H$72,I59:I72)/$H$73</f>
        <v>34.574820122553866</v>
      </c>
      <c r="J73" s="79">
        <f t="shared" ref="J73:M73" si="11">SUMPRODUCT($H$59:$H$72,J59:J72)/$H$73</f>
        <v>1.9642419450484285</v>
      </c>
      <c r="K73" s="79">
        <f t="shared" si="11"/>
        <v>15.704436647558804</v>
      </c>
      <c r="L73" s="79">
        <f t="shared" si="11"/>
        <v>0.56503656849179684</v>
      </c>
      <c r="M73" s="88">
        <f t="shared" si="11"/>
        <v>3.4961949001779007</v>
      </c>
    </row>
    <row r="74" spans="2:13">
      <c r="B74" s="64" t="s">
        <v>79</v>
      </c>
      <c r="C74" s="65" t="s">
        <v>80</v>
      </c>
      <c r="D74" s="66"/>
      <c r="E74" s="67"/>
      <c r="F74" s="67"/>
      <c r="G74" s="134">
        <v>1500</v>
      </c>
      <c r="H74" s="67"/>
      <c r="I74" s="67"/>
      <c r="J74" s="67"/>
      <c r="K74" s="67"/>
      <c r="L74" s="67"/>
      <c r="M74" s="67"/>
    </row>
    <row r="75" spans="2:13">
      <c r="B75" s="68"/>
      <c r="C75" s="69"/>
      <c r="D75" s="70"/>
      <c r="E75" s="71">
        <v>1.25</v>
      </c>
      <c r="F75" s="72">
        <v>1.3</v>
      </c>
      <c r="G75" s="94">
        <v>141</v>
      </c>
      <c r="H75" s="73">
        <f>G75/$G$89*100</f>
        <v>14.107053526763377</v>
      </c>
      <c r="I75" s="87">
        <v>2.8</v>
      </c>
      <c r="J75" s="87">
        <v>0.9</v>
      </c>
      <c r="K75" s="87">
        <v>23.07</v>
      </c>
      <c r="L75" s="87">
        <v>0.65</v>
      </c>
      <c r="M75" s="101">
        <v>9</v>
      </c>
    </row>
    <row r="76" spans="2:13">
      <c r="B76" s="68"/>
      <c r="C76" s="69"/>
      <c r="D76" s="70"/>
      <c r="E76" s="74">
        <f>F75</f>
        <v>1.3</v>
      </c>
      <c r="F76" s="72">
        <v>1.325</v>
      </c>
      <c r="G76" s="94">
        <v>124.7</v>
      </c>
      <c r="H76" s="73">
        <f t="shared" ref="H76:H88" si="12">G76/$G$89*100</f>
        <v>12.476238119059527</v>
      </c>
      <c r="I76" s="87">
        <v>2.64</v>
      </c>
      <c r="J76" s="87">
        <v>0.78</v>
      </c>
      <c r="K76" s="87">
        <v>23.06</v>
      </c>
      <c r="L76" s="87">
        <v>0.63</v>
      </c>
      <c r="M76" s="101">
        <v>9</v>
      </c>
    </row>
    <row r="77" spans="2:13">
      <c r="B77" s="68"/>
      <c r="C77" s="69"/>
      <c r="D77" s="70"/>
      <c r="E77" s="74">
        <f t="shared" ref="E77:E88" si="13">F76</f>
        <v>1.325</v>
      </c>
      <c r="F77" s="72">
        <v>1.35</v>
      </c>
      <c r="G77" s="94">
        <v>101.9</v>
      </c>
      <c r="H77" s="73">
        <f t="shared" si="12"/>
        <v>10.195097548774386</v>
      </c>
      <c r="I77" s="87">
        <v>5.39</v>
      </c>
      <c r="J77" s="87">
        <v>0.73</v>
      </c>
      <c r="K77" s="87">
        <v>22.47</v>
      </c>
      <c r="L77" s="87">
        <v>0.6</v>
      </c>
      <c r="M77" s="101">
        <v>8.5</v>
      </c>
    </row>
    <row r="78" spans="2:13">
      <c r="B78" s="68"/>
      <c r="C78" s="69"/>
      <c r="D78" s="70"/>
      <c r="E78" s="74">
        <f t="shared" si="13"/>
        <v>1.35</v>
      </c>
      <c r="F78" s="72">
        <v>1.375</v>
      </c>
      <c r="G78" s="94">
        <v>13.3</v>
      </c>
      <c r="H78" s="73">
        <f t="shared" si="12"/>
        <v>1.3306653326663329</v>
      </c>
      <c r="I78" s="87">
        <v>10.29</v>
      </c>
      <c r="J78" s="87">
        <v>0.76</v>
      </c>
      <c r="K78" s="87">
        <v>20.92</v>
      </c>
      <c r="L78" s="87">
        <v>0.55000000000000004</v>
      </c>
      <c r="M78" s="101">
        <v>8</v>
      </c>
    </row>
    <row r="79" spans="2:13">
      <c r="B79" s="68"/>
      <c r="C79" s="69"/>
      <c r="D79" s="70"/>
      <c r="E79" s="74">
        <f t="shared" si="13"/>
        <v>1.375</v>
      </c>
      <c r="F79" s="72">
        <v>1.4</v>
      </c>
      <c r="G79" s="94">
        <v>68.2</v>
      </c>
      <c r="H79" s="73">
        <f t="shared" si="12"/>
        <v>6.8234117058529247</v>
      </c>
      <c r="I79" s="87">
        <v>12.03</v>
      </c>
      <c r="J79" s="87">
        <v>0.54</v>
      </c>
      <c r="K79" s="87">
        <v>20.28</v>
      </c>
      <c r="L79" s="87">
        <v>0.54</v>
      </c>
      <c r="M79" s="101">
        <v>7</v>
      </c>
    </row>
    <row r="80" spans="2:13">
      <c r="B80" s="68"/>
      <c r="C80" s="69"/>
      <c r="D80" s="70"/>
      <c r="E80" s="74">
        <f t="shared" si="13"/>
        <v>1.4</v>
      </c>
      <c r="F80" s="72">
        <v>1.425</v>
      </c>
      <c r="G80" s="94">
        <v>65.2</v>
      </c>
      <c r="H80" s="73">
        <f t="shared" si="12"/>
        <v>6.5232616308154068</v>
      </c>
      <c r="I80" s="87">
        <v>13.86</v>
      </c>
      <c r="J80" s="87">
        <v>0.88</v>
      </c>
      <c r="K80" s="87">
        <v>19.3</v>
      </c>
      <c r="L80" s="87">
        <v>0.53</v>
      </c>
      <c r="M80" s="101">
        <v>6.5</v>
      </c>
    </row>
    <row r="81" spans="2:13">
      <c r="B81" s="68"/>
      <c r="C81" s="69"/>
      <c r="D81" s="70"/>
      <c r="E81" s="74">
        <f t="shared" si="13"/>
        <v>1.425</v>
      </c>
      <c r="F81" s="72">
        <v>1.45</v>
      </c>
      <c r="G81" s="94">
        <v>58.2</v>
      </c>
      <c r="H81" s="73">
        <f t="shared" si="12"/>
        <v>5.822911455727863</v>
      </c>
      <c r="I81" s="87">
        <v>16.04</v>
      </c>
      <c r="J81" s="87">
        <v>0.88</v>
      </c>
      <c r="K81" s="87">
        <v>18.62</v>
      </c>
      <c r="L81" s="87">
        <v>0.51</v>
      </c>
      <c r="M81" s="101">
        <v>5</v>
      </c>
    </row>
    <row r="82" spans="2:13">
      <c r="B82" s="68"/>
      <c r="C82" s="69"/>
      <c r="D82" s="70"/>
      <c r="E82" s="74">
        <f t="shared" si="13"/>
        <v>1.45</v>
      </c>
      <c r="F82" s="72">
        <v>1.5</v>
      </c>
      <c r="G82" s="94">
        <v>51.1</v>
      </c>
      <c r="H82" s="73">
        <f t="shared" si="12"/>
        <v>5.1125562781390688</v>
      </c>
      <c r="I82" s="87">
        <v>19.16</v>
      </c>
      <c r="J82" s="87">
        <v>0.6</v>
      </c>
      <c r="K82" s="87">
        <v>18.38</v>
      </c>
      <c r="L82" s="87">
        <v>0.52</v>
      </c>
      <c r="M82" s="101">
        <v>3</v>
      </c>
    </row>
    <row r="83" spans="2:13">
      <c r="B83" s="68"/>
      <c r="C83" s="69"/>
      <c r="D83" s="70"/>
      <c r="E83" s="74">
        <f t="shared" si="13"/>
        <v>1.5</v>
      </c>
      <c r="F83" s="72">
        <v>1.6</v>
      </c>
      <c r="G83" s="94">
        <v>85.1</v>
      </c>
      <c r="H83" s="73">
        <f t="shared" si="12"/>
        <v>8.5142571285642799</v>
      </c>
      <c r="I83" s="87">
        <v>24.15</v>
      </c>
      <c r="J83" s="87">
        <v>0.97</v>
      </c>
      <c r="K83" s="87">
        <v>17.11</v>
      </c>
      <c r="L83" s="87">
        <v>0.48</v>
      </c>
      <c r="M83" s="101">
        <v>1</v>
      </c>
    </row>
    <row r="84" spans="2:13">
      <c r="B84" s="68"/>
      <c r="C84" s="69"/>
      <c r="D84" s="70"/>
      <c r="E84" s="74">
        <f t="shared" si="13"/>
        <v>1.6</v>
      </c>
      <c r="F84" s="72">
        <v>1.7</v>
      </c>
      <c r="G84" s="94">
        <v>34.700000000000003</v>
      </c>
      <c r="H84" s="73">
        <f t="shared" si="12"/>
        <v>3.4717358679339663</v>
      </c>
      <c r="I84" s="87">
        <v>28.99</v>
      </c>
      <c r="J84" s="87">
        <v>0.56000000000000005</v>
      </c>
      <c r="K84" s="87">
        <v>16.809999999999999</v>
      </c>
      <c r="L84" s="87">
        <v>0.49</v>
      </c>
      <c r="M84" s="101">
        <v>0.5</v>
      </c>
    </row>
    <row r="85" spans="2:13">
      <c r="B85" s="68"/>
      <c r="C85" s="69"/>
      <c r="D85" s="70"/>
      <c r="E85" s="74">
        <f t="shared" si="13"/>
        <v>1.7</v>
      </c>
      <c r="F85" s="72">
        <v>1.8</v>
      </c>
      <c r="G85" s="94">
        <v>17.5</v>
      </c>
      <c r="H85" s="73">
        <f t="shared" si="12"/>
        <v>1.7508754377188591</v>
      </c>
      <c r="I85" s="87">
        <v>45.97</v>
      </c>
      <c r="J85" s="87">
        <v>1.64</v>
      </c>
      <c r="K85" s="87">
        <v>14.07</v>
      </c>
      <c r="L85" s="87">
        <v>1</v>
      </c>
      <c r="M85" s="101">
        <v>0</v>
      </c>
    </row>
    <row r="86" spans="2:13">
      <c r="B86" s="68"/>
      <c r="C86" s="69"/>
      <c r="D86" s="70"/>
      <c r="E86" s="74">
        <f t="shared" si="13"/>
        <v>1.8</v>
      </c>
      <c r="F86" s="72">
        <v>2</v>
      </c>
      <c r="G86" s="94">
        <v>0</v>
      </c>
      <c r="H86" s="73">
        <f t="shared" si="12"/>
        <v>0</v>
      </c>
      <c r="I86" s="87">
        <v>0</v>
      </c>
      <c r="J86" s="87">
        <v>0</v>
      </c>
      <c r="K86" s="87">
        <v>0</v>
      </c>
      <c r="L86" s="87">
        <v>0</v>
      </c>
      <c r="M86" s="101">
        <v>0</v>
      </c>
    </row>
    <row r="87" spans="2:13">
      <c r="B87" s="68"/>
      <c r="C87" s="69"/>
      <c r="D87" s="70"/>
      <c r="E87" s="74">
        <f t="shared" si="13"/>
        <v>2</v>
      </c>
      <c r="F87" s="72">
        <v>2.2000000000000002</v>
      </c>
      <c r="G87" s="94">
        <v>0</v>
      </c>
      <c r="H87" s="73">
        <f t="shared" si="12"/>
        <v>0</v>
      </c>
      <c r="I87" s="87">
        <v>0</v>
      </c>
      <c r="J87" s="87">
        <v>0</v>
      </c>
      <c r="K87" s="87">
        <v>0</v>
      </c>
      <c r="L87" s="87">
        <v>0</v>
      </c>
      <c r="M87" s="101">
        <v>0</v>
      </c>
    </row>
    <row r="88" spans="2:13">
      <c r="B88" s="68"/>
      <c r="C88" s="69"/>
      <c r="D88" s="70"/>
      <c r="E88" s="74">
        <f t="shared" si="13"/>
        <v>2.2000000000000002</v>
      </c>
      <c r="F88" s="72">
        <v>2.8</v>
      </c>
      <c r="G88" s="94">
        <v>238.6</v>
      </c>
      <c r="H88" s="73">
        <f t="shared" si="12"/>
        <v>23.871935967983987</v>
      </c>
      <c r="I88" s="87">
        <v>64.260000000000005</v>
      </c>
      <c r="J88" s="87">
        <v>3.02</v>
      </c>
      <c r="K88" s="87">
        <v>11.13</v>
      </c>
      <c r="L88" s="87">
        <v>1.76</v>
      </c>
      <c r="M88" s="101">
        <v>0</v>
      </c>
    </row>
    <row r="89" spans="2:13">
      <c r="B89" s="142" t="s">
        <v>72</v>
      </c>
      <c r="C89" s="143"/>
      <c r="D89" s="143"/>
      <c r="E89" s="75"/>
      <c r="F89" s="76"/>
      <c r="G89" s="77">
        <f>SUM(G75:G88)</f>
        <v>999.50000000000023</v>
      </c>
      <c r="H89" s="78">
        <f>SUM(H75:H88)</f>
        <v>99.999999999999986</v>
      </c>
      <c r="I89" s="79">
        <f>SUMPRODUCT($H$75:$H$88,I75:I88)/$H$89</f>
        <v>24.256985492746374</v>
      </c>
      <c r="J89" s="79">
        <f>SUMPRODUCT($H$75:$H$88,J75:J88)/$H$89</f>
        <v>1.3366603301650823</v>
      </c>
      <c r="K89" s="79">
        <f t="shared" ref="K89:L89" si="14">SUMPRODUCT($H$75:$H$88,K75:K88)/$H$89</f>
        <v>18.311105552776382</v>
      </c>
      <c r="L89" s="79">
        <f t="shared" si="14"/>
        <v>0.86202201100550269</v>
      </c>
      <c r="M89" s="88">
        <f>SUMPRODUCT($H$75:$H$88,M75:M88)/$H$89</f>
        <v>4.8142071035517757</v>
      </c>
    </row>
  </sheetData>
  <mergeCells count="14">
    <mergeCell ref="E1:G1"/>
    <mergeCell ref="E2:G2"/>
    <mergeCell ref="E3:G3"/>
    <mergeCell ref="E4:G4"/>
    <mergeCell ref="E5:G5"/>
    <mergeCell ref="B57:D57"/>
    <mergeCell ref="B73:D73"/>
    <mergeCell ref="B89:D89"/>
    <mergeCell ref="G7:M7"/>
    <mergeCell ref="B8:C8"/>
    <mergeCell ref="E8:F8"/>
    <mergeCell ref="G8:H8"/>
    <mergeCell ref="B25:D25"/>
    <mergeCell ref="B41:D41"/>
  </mergeCells>
  <pageMargins left="0.7" right="0.7" top="0.75" bottom="0.75" header="0.3" footer="0.3"/>
  <pageSetup paperSize="9" scale="53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6"/>
  <sheetViews>
    <sheetView showGridLines="0" tabSelected="1" view="pageBreakPreview" zoomScale="90" zoomScaleNormal="100" zoomScaleSheetLayoutView="90" workbookViewId="0">
      <selection activeCell="R25" sqref="R25"/>
    </sheetView>
  </sheetViews>
  <sheetFormatPr defaultRowHeight="15"/>
  <cols>
    <col min="1" max="1" width="5.7109375" customWidth="1"/>
    <col min="6" max="6" width="10.42578125" bestFit="1" customWidth="1"/>
    <col min="11" max="11" width="13.140625" bestFit="1" customWidth="1"/>
  </cols>
  <sheetData>
    <row r="1" spans="2:12">
      <c r="B1" s="1" t="s">
        <v>0</v>
      </c>
      <c r="C1" s="1"/>
      <c r="D1" s="158" t="str">
        <f>'Raw Coal analysis'!C1</f>
        <v>PR6_B5_0CL1</v>
      </c>
      <c r="E1" s="158"/>
      <c r="F1" s="158"/>
    </row>
    <row r="2" spans="2:12">
      <c r="B2" s="1" t="s">
        <v>1</v>
      </c>
      <c r="C2" s="1"/>
      <c r="D2" s="89" t="s">
        <v>81</v>
      </c>
      <c r="E2" s="8"/>
      <c r="F2" s="8"/>
    </row>
    <row r="3" spans="2:12">
      <c r="B3" s="1" t="s">
        <v>2</v>
      </c>
      <c r="C3" s="1"/>
      <c r="D3" s="158" t="str">
        <f>'Raw Coal analysis'!C3</f>
        <v>2019.11.07</v>
      </c>
      <c r="E3" s="158"/>
      <c r="F3" s="158"/>
    </row>
    <row r="4" spans="2:12">
      <c r="B4" s="1" t="s">
        <v>3</v>
      </c>
      <c r="C4" s="1"/>
      <c r="D4" s="158" t="str">
        <f>'Raw Coal analysis'!C4</f>
        <v>Process team</v>
      </c>
      <c r="E4" s="158"/>
      <c r="F4" s="158"/>
    </row>
    <row r="5" spans="2:12">
      <c r="B5" s="1" t="s">
        <v>4</v>
      </c>
      <c r="C5" s="1"/>
      <c r="D5" s="158" t="str">
        <f>'Raw Coal analysis'!C5</f>
        <v>2019.10.30</v>
      </c>
      <c r="E5" s="158"/>
      <c r="F5" s="158"/>
    </row>
    <row r="7" spans="2:12" ht="45">
      <c r="B7" s="152" t="s">
        <v>58</v>
      </c>
      <c r="C7" s="153"/>
      <c r="D7" s="47" t="s">
        <v>59</v>
      </c>
      <c r="E7" s="48" t="s">
        <v>82</v>
      </c>
      <c r="F7" s="154" t="s">
        <v>61</v>
      </c>
      <c r="G7" s="155"/>
      <c r="H7" s="36" t="s">
        <v>62</v>
      </c>
      <c r="I7" s="36" t="s">
        <v>10</v>
      </c>
      <c r="J7" s="36" t="s">
        <v>93</v>
      </c>
      <c r="K7" s="36" t="s">
        <v>14</v>
      </c>
      <c r="L7" s="36" t="s">
        <v>63</v>
      </c>
    </row>
    <row r="8" spans="2:12">
      <c r="B8" s="37"/>
      <c r="C8" s="37"/>
      <c r="D8" s="37"/>
      <c r="E8" s="37"/>
      <c r="F8" s="37" t="s">
        <v>66</v>
      </c>
      <c r="G8" s="37" t="s">
        <v>67</v>
      </c>
      <c r="H8" s="37" t="s">
        <v>67</v>
      </c>
      <c r="I8" s="37" t="s">
        <v>68</v>
      </c>
      <c r="J8" s="37" t="s">
        <v>69</v>
      </c>
      <c r="K8" s="37"/>
      <c r="L8" s="37"/>
    </row>
    <row r="9" spans="2:12">
      <c r="B9" s="38" t="s">
        <v>83</v>
      </c>
      <c r="C9" s="39" t="s">
        <v>84</v>
      </c>
      <c r="D9" s="40"/>
      <c r="E9" s="41"/>
      <c r="F9" s="135">
        <v>350</v>
      </c>
      <c r="G9" s="41"/>
      <c r="H9" s="41"/>
      <c r="I9" s="41"/>
      <c r="J9" s="41"/>
      <c r="K9" s="41"/>
      <c r="L9" s="41"/>
    </row>
    <row r="10" spans="2:12">
      <c r="B10" s="42"/>
      <c r="C10" s="43"/>
      <c r="D10" s="44"/>
      <c r="E10" s="44" t="s">
        <v>85</v>
      </c>
      <c r="F10" s="94">
        <v>187</v>
      </c>
      <c r="G10" s="73">
        <f t="shared" ref="G10:G14" si="0">F10/$F$16*100</f>
        <v>53.968253968253975</v>
      </c>
      <c r="H10" s="87">
        <v>0.52</v>
      </c>
      <c r="I10" s="87">
        <v>16.47</v>
      </c>
      <c r="J10" s="87">
        <v>19.2</v>
      </c>
      <c r="K10" s="87">
        <v>0.69</v>
      </c>
      <c r="L10" s="101">
        <v>8</v>
      </c>
    </row>
    <row r="11" spans="2:12">
      <c r="B11" s="42"/>
      <c r="C11" s="43"/>
      <c r="D11" s="44"/>
      <c r="E11" s="44" t="s">
        <v>86</v>
      </c>
      <c r="F11" s="94">
        <v>98</v>
      </c>
      <c r="G11" s="73">
        <f>F11/$F$16*100</f>
        <v>28.282828282828287</v>
      </c>
      <c r="H11" s="87">
        <v>0.49</v>
      </c>
      <c r="I11" s="87">
        <v>17.63</v>
      </c>
      <c r="J11" s="87">
        <v>18.89</v>
      </c>
      <c r="K11" s="87">
        <v>0.73</v>
      </c>
      <c r="L11" s="101">
        <v>7.5</v>
      </c>
    </row>
    <row r="12" spans="2:12">
      <c r="B12" s="42"/>
      <c r="C12" s="43"/>
      <c r="D12" s="44"/>
      <c r="E12" s="44" t="s">
        <v>87</v>
      </c>
      <c r="F12" s="94">
        <v>6.7</v>
      </c>
      <c r="G12" s="73">
        <f t="shared" si="0"/>
        <v>1.9336219336219338</v>
      </c>
      <c r="H12" s="87">
        <v>0.51</v>
      </c>
      <c r="I12" s="87">
        <v>17.77</v>
      </c>
      <c r="J12" s="87">
        <v>0</v>
      </c>
      <c r="K12" s="87">
        <v>0</v>
      </c>
      <c r="L12" s="101">
        <v>5.5</v>
      </c>
    </row>
    <row r="13" spans="2:12">
      <c r="B13" s="42"/>
      <c r="C13" s="43"/>
      <c r="D13" s="44"/>
      <c r="E13" s="44" t="s">
        <v>88</v>
      </c>
      <c r="F13" s="94">
        <v>1.4</v>
      </c>
      <c r="G13" s="73">
        <f t="shared" si="0"/>
        <v>0.40404040404040403</v>
      </c>
      <c r="H13" s="87">
        <v>0</v>
      </c>
      <c r="I13" s="87">
        <v>44.73</v>
      </c>
      <c r="J13" s="87">
        <v>0</v>
      </c>
      <c r="K13" s="87">
        <v>0</v>
      </c>
      <c r="L13" s="101">
        <v>0</v>
      </c>
    </row>
    <row r="14" spans="2:12">
      <c r="B14" s="42"/>
      <c r="C14" s="43"/>
      <c r="D14" s="44"/>
      <c r="E14" s="44" t="s">
        <v>89</v>
      </c>
      <c r="F14" s="94">
        <v>45.9</v>
      </c>
      <c r="G14" s="73">
        <f t="shared" si="0"/>
        <v>13.246753246753249</v>
      </c>
      <c r="H14" s="87">
        <v>0.86</v>
      </c>
      <c r="I14" s="87">
        <v>84.51</v>
      </c>
      <c r="J14" s="87">
        <v>8.58</v>
      </c>
      <c r="K14" s="87">
        <v>3.51</v>
      </c>
      <c r="L14" s="101">
        <v>0</v>
      </c>
    </row>
    <row r="15" spans="2:12">
      <c r="B15" s="42"/>
      <c r="C15" s="43"/>
      <c r="D15" s="44"/>
      <c r="E15" s="44" t="s">
        <v>90</v>
      </c>
      <c r="F15" s="94">
        <v>7.5</v>
      </c>
      <c r="G15" s="73">
        <f>F15/$F$16*100</f>
        <v>2.1645021645021649</v>
      </c>
      <c r="H15" s="87">
        <v>0.93</v>
      </c>
      <c r="I15" s="87">
        <v>67.02</v>
      </c>
      <c r="J15" s="87">
        <v>10.3</v>
      </c>
      <c r="K15" s="87">
        <v>2.33</v>
      </c>
      <c r="L15" s="101">
        <v>0</v>
      </c>
    </row>
    <row r="16" spans="2:12">
      <c r="B16" s="156" t="s">
        <v>72</v>
      </c>
      <c r="C16" s="157"/>
      <c r="D16" s="157"/>
      <c r="E16" s="45"/>
      <c r="F16" s="49">
        <f>SUM(F10:F15)</f>
        <v>346.49999999999994</v>
      </c>
      <c r="G16" s="46">
        <f>SUM(G10:G15)</f>
        <v>100.00000000000001</v>
      </c>
      <c r="H16" s="102">
        <f>SUMPRODUCT($G$10:$G$15,H10:H15)/$G$16</f>
        <v>0.56313419913419904</v>
      </c>
      <c r="I16" s="102">
        <f t="shared" ref="I16:L16" si="1">SUMPRODUCT($G$10:$G$15,I10:I15)/$G$16</f>
        <v>27.044646464646462</v>
      </c>
      <c r="J16" s="102">
        <f t="shared" si="1"/>
        <v>17.064046176046176</v>
      </c>
      <c r="K16" s="102">
        <f t="shared" si="1"/>
        <v>1.0942395382395382</v>
      </c>
      <c r="L16" s="102">
        <f t="shared" si="1"/>
        <v>6.5450216450216443</v>
      </c>
    </row>
  </sheetData>
  <mergeCells count="7">
    <mergeCell ref="B7:C7"/>
    <mergeCell ref="F7:G7"/>
    <mergeCell ref="B16:D16"/>
    <mergeCell ref="D1:F1"/>
    <mergeCell ref="D3:F3"/>
    <mergeCell ref="D4:F4"/>
    <mergeCell ref="D5:F5"/>
  </mergeCells>
  <pageMargins left="0.7" right="0.7" top="0.75" bottom="0.75" header="0.3" footer="0.3"/>
  <pageSetup paperSize="9" scale="78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showGridLines="0" view="pageBreakPreview" zoomScaleNormal="100" zoomScaleSheetLayoutView="100" workbookViewId="0">
      <selection activeCell="C14" sqref="C14:C16"/>
    </sheetView>
  </sheetViews>
  <sheetFormatPr defaultRowHeight="15"/>
  <cols>
    <col min="1" max="1" width="5.28515625" customWidth="1"/>
    <col min="2" max="2" width="24.85546875" customWidth="1"/>
    <col min="3" max="3" width="32.85546875" customWidth="1"/>
    <col min="4" max="4" width="15.5703125" customWidth="1"/>
    <col min="6" max="7" width="10.7109375" bestFit="1" customWidth="1"/>
  </cols>
  <sheetData>
    <row r="1" spans="2:10">
      <c r="B1" s="1" t="s">
        <v>0</v>
      </c>
      <c r="C1" s="104" t="s">
        <v>98</v>
      </c>
    </row>
    <row r="2" spans="2:10">
      <c r="B2" s="1" t="s">
        <v>1</v>
      </c>
      <c r="C2" t="s">
        <v>95</v>
      </c>
    </row>
    <row r="3" spans="2:10">
      <c r="B3" s="1" t="s">
        <v>2</v>
      </c>
      <c r="C3" s="104" t="str">
        <f>'Raw Coal analysis'!C3</f>
        <v>2019.11.07</v>
      </c>
    </row>
    <row r="4" spans="2:10">
      <c r="B4" s="1" t="s">
        <v>3</v>
      </c>
      <c r="C4" s="103" t="str">
        <f>'Raw Coal analysis'!C4</f>
        <v>Process team</v>
      </c>
    </row>
    <row r="5" spans="2:10">
      <c r="B5" s="1" t="s">
        <v>4</v>
      </c>
      <c r="C5" s="104" t="str">
        <f>'Raw Coal analysis'!C5</f>
        <v>2019.10.30</v>
      </c>
    </row>
    <row r="8" spans="2:10">
      <c r="B8" s="50" t="s">
        <v>5</v>
      </c>
      <c r="C8" s="51">
        <v>32</v>
      </c>
      <c r="D8" s="4"/>
      <c r="E8" s="4"/>
      <c r="F8" s="4"/>
      <c r="G8" s="4"/>
      <c r="H8" s="4"/>
      <c r="I8" s="4"/>
      <c r="J8" s="4"/>
    </row>
    <row r="9" spans="2:10">
      <c r="B9" s="50" t="s">
        <v>6</v>
      </c>
      <c r="C9" s="130"/>
      <c r="E9" s="6"/>
      <c r="F9" s="6"/>
    </row>
    <row r="10" spans="2:10">
      <c r="B10" s="50" t="s">
        <v>7</v>
      </c>
      <c r="C10" s="130"/>
    </row>
    <row r="11" spans="2:10">
      <c r="B11" s="50" t="s">
        <v>8</v>
      </c>
      <c r="C11" s="130"/>
    </row>
    <row r="12" spans="2:10">
      <c r="B12" s="50" t="s">
        <v>10</v>
      </c>
      <c r="C12" s="130"/>
    </row>
    <row r="13" spans="2:10">
      <c r="B13" s="50" t="s">
        <v>11</v>
      </c>
      <c r="C13" s="130"/>
    </row>
    <row r="14" spans="2:10">
      <c r="B14" s="50" t="s">
        <v>12</v>
      </c>
      <c r="C14" s="131"/>
    </row>
    <row r="15" spans="2:10">
      <c r="B15" s="50" t="s">
        <v>13</v>
      </c>
      <c r="C15" s="132"/>
    </row>
    <row r="16" spans="2:10">
      <c r="B16" s="50" t="s">
        <v>14</v>
      </c>
      <c r="C16" s="130"/>
    </row>
    <row r="17" spans="2:3">
      <c r="B17" s="50" t="s">
        <v>94</v>
      </c>
      <c r="C17" s="130"/>
    </row>
    <row r="18" spans="2:3">
      <c r="B18" s="8"/>
    </row>
    <row r="20" spans="2:3">
      <c r="B20" s="9" t="s">
        <v>15</v>
      </c>
    </row>
    <row r="21" spans="2:3" ht="29.45" customHeight="1">
      <c r="B21" s="52" t="s">
        <v>16</v>
      </c>
      <c r="C21" s="3"/>
    </row>
    <row r="22" spans="2:3">
      <c r="B22" s="50" t="s">
        <v>17</v>
      </c>
      <c r="C22" s="5"/>
    </row>
    <row r="23" spans="2:3">
      <c r="B23" s="11"/>
      <c r="C23" s="5"/>
    </row>
    <row r="24" spans="2:3">
      <c r="B24" s="50" t="s">
        <v>18</v>
      </c>
      <c r="C24" s="7"/>
    </row>
    <row r="25" spans="2:3">
      <c r="B25" s="50" t="s">
        <v>19</v>
      </c>
      <c r="C25" s="7"/>
    </row>
    <row r="26" spans="2:3">
      <c r="B26" s="50" t="s">
        <v>20</v>
      </c>
      <c r="C26" s="5"/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Raw Coal analysis</vt:lpstr>
      <vt:lpstr>Pretreatment</vt:lpstr>
      <vt:lpstr>Float sink</vt:lpstr>
      <vt:lpstr>Froth Flotation</vt:lpstr>
      <vt:lpstr>Composite Product Analysis </vt:lpstr>
      <vt:lpstr>'Composite Product Analysis '!Print_Area</vt:lpstr>
      <vt:lpstr>'Float sink'!Print_Area</vt:lpstr>
      <vt:lpstr>'Froth Flotation'!Print_Area</vt:lpstr>
      <vt:lpstr>Pretreatment!Print_Area</vt:lpstr>
      <vt:lpstr>'Raw Coal analysis'!Print_Area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Dolgor Daalkhai</dc:creator>
  <cp:lastModifiedBy>Otgonbaatar Jargal</cp:lastModifiedBy>
  <cp:lastPrinted>2019-08-29T07:37:14Z</cp:lastPrinted>
  <dcterms:created xsi:type="dcterms:W3CDTF">2015-06-05T18:17:20Z</dcterms:created>
  <dcterms:modified xsi:type="dcterms:W3CDTF">2019-11-07T10:18:27Z</dcterms:modified>
</cp:coreProperties>
</file>