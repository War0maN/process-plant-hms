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25D222-6E07-43CF-8A2B-4CD493B01F8F}" xr6:coauthVersionLast="47" xr6:coauthVersionMax="47" xr10:uidLastSave="{00000000-0000-0000-0000-000000000000}"/>
  <bookViews>
    <workbookView xWindow="38280" yWindow="-120" windowWidth="38640" windowHeight="21120" xr2:uid="{CC289DC0-8457-43F5-98D7-6821AFEC3D21}"/>
  </bookViews>
  <sheets>
    <sheet name="Float sink" sheetId="2" r:id="rId1"/>
  </sheets>
  <externalReferences>
    <externalReference r:id="rId2"/>
  </externalReferences>
  <definedNames>
    <definedName name="\Convergence">"1000000.000000"</definedName>
    <definedName name="\IterationCount">0</definedName>
    <definedName name="\WorstStream">" "</definedName>
    <definedName name="_xlnm.Print_Area" localSheetId="0">'Float sink'!$A$1:$AY$147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3" i="2" l="1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R11" i="2"/>
  <c r="N11" i="2"/>
  <c r="D1" i="2"/>
  <c r="D2" i="2"/>
  <c r="D5" i="2"/>
  <c r="D10" i="2"/>
  <c r="AB10" i="2" s="1"/>
  <c r="E12" i="2"/>
  <c r="N12" i="2"/>
  <c r="E13" i="2"/>
  <c r="N13" i="2"/>
  <c r="E14" i="2"/>
  <c r="N14" i="2"/>
  <c r="E15" i="2"/>
  <c r="N15" i="2"/>
  <c r="E16" i="2"/>
  <c r="N16" i="2"/>
  <c r="E17" i="2"/>
  <c r="N17" i="2"/>
  <c r="E18" i="2"/>
  <c r="N18" i="2"/>
  <c r="E19" i="2"/>
  <c r="N19" i="2"/>
  <c r="E20" i="2"/>
  <c r="N20" i="2"/>
  <c r="E21" i="2"/>
  <c r="H21" i="2"/>
  <c r="N21" i="2"/>
  <c r="R21" i="2"/>
  <c r="E22" i="2"/>
  <c r="N22" i="2"/>
  <c r="E23" i="2"/>
  <c r="H23" i="2"/>
  <c r="N23" i="2"/>
  <c r="R23" i="2"/>
  <c r="E24" i="2"/>
  <c r="N24" i="2"/>
  <c r="G25" i="2"/>
  <c r="O25" i="2"/>
  <c r="D26" i="2"/>
  <c r="AB26" i="2" s="1"/>
  <c r="H27" i="2"/>
  <c r="N27" i="2"/>
  <c r="S27" i="2"/>
  <c r="E28" i="2"/>
  <c r="N28" i="2"/>
  <c r="S28" i="2"/>
  <c r="E29" i="2"/>
  <c r="N29" i="2"/>
  <c r="S29" i="2"/>
  <c r="E30" i="2"/>
  <c r="N30" i="2"/>
  <c r="S30" i="2"/>
  <c r="E31" i="2"/>
  <c r="N31" i="2"/>
  <c r="S31" i="2"/>
  <c r="E32" i="2"/>
  <c r="N32" i="2"/>
  <c r="S32" i="2"/>
  <c r="E33" i="2"/>
  <c r="N33" i="2"/>
  <c r="S33" i="2"/>
  <c r="E34" i="2"/>
  <c r="H34" i="2"/>
  <c r="R34" i="2" s="1"/>
  <c r="N34" i="2"/>
  <c r="S34" i="2"/>
  <c r="E35" i="2"/>
  <c r="N35" i="2"/>
  <c r="S35" i="2"/>
  <c r="E36" i="2"/>
  <c r="N36" i="2"/>
  <c r="S36" i="2"/>
  <c r="E37" i="2"/>
  <c r="N37" i="2"/>
  <c r="S37" i="2"/>
  <c r="E38" i="2"/>
  <c r="H38" i="2"/>
  <c r="R38" i="2" s="1"/>
  <c r="N38" i="2"/>
  <c r="S38" i="2"/>
  <c r="E39" i="2"/>
  <c r="N39" i="2"/>
  <c r="S39" i="2"/>
  <c r="E40" i="2"/>
  <c r="N40" i="2"/>
  <c r="S40" i="2"/>
  <c r="G41" i="2"/>
  <c r="D42" i="2"/>
  <c r="AB42" i="2" s="1"/>
  <c r="AV42" i="2" s="1"/>
  <c r="N43" i="2"/>
  <c r="S43" i="2"/>
  <c r="AM43" i="2" s="1"/>
  <c r="E44" i="2"/>
  <c r="N44" i="2"/>
  <c r="S44" i="2"/>
  <c r="AM44" i="2" s="1"/>
  <c r="E45" i="2"/>
  <c r="N45" i="2"/>
  <c r="S45" i="2"/>
  <c r="AM45" i="2" s="1"/>
  <c r="E46" i="2"/>
  <c r="H46" i="2"/>
  <c r="R46" i="2" s="1"/>
  <c r="N46" i="2"/>
  <c r="S46" i="2"/>
  <c r="AM46" i="2"/>
  <c r="E47" i="2"/>
  <c r="N47" i="2"/>
  <c r="S47" i="2"/>
  <c r="AM47" i="2"/>
  <c r="E48" i="2"/>
  <c r="N48" i="2"/>
  <c r="S48" i="2"/>
  <c r="AM48" i="2"/>
  <c r="E49" i="2"/>
  <c r="N49" i="2"/>
  <c r="S49" i="2"/>
  <c r="AM49" i="2" s="1"/>
  <c r="E50" i="2"/>
  <c r="N50" i="2"/>
  <c r="S50" i="2"/>
  <c r="AM50" i="2"/>
  <c r="E51" i="2"/>
  <c r="H51" i="2"/>
  <c r="N51" i="2"/>
  <c r="R51" i="2"/>
  <c r="S51" i="2"/>
  <c r="AM51" i="2"/>
  <c r="E52" i="2"/>
  <c r="N52" i="2"/>
  <c r="S52" i="2"/>
  <c r="AM52" i="2" s="1"/>
  <c r="E53" i="2"/>
  <c r="N53" i="2"/>
  <c r="S53" i="2"/>
  <c r="AM53" i="2"/>
  <c r="E54" i="2"/>
  <c r="H54" i="2"/>
  <c r="R54" i="2" s="1"/>
  <c r="N54" i="2"/>
  <c r="S54" i="2"/>
  <c r="AM54" i="2"/>
  <c r="E55" i="2"/>
  <c r="H55" i="2"/>
  <c r="N55" i="2"/>
  <c r="R55" i="2"/>
  <c r="S55" i="2"/>
  <c r="AM55" i="2"/>
  <c r="E56" i="2"/>
  <c r="N56" i="2"/>
  <c r="S56" i="2"/>
  <c r="AM56" i="2" s="1"/>
  <c r="G57" i="2"/>
  <c r="D58" i="2"/>
  <c r="AB58" i="2" s="1"/>
  <c r="H59" i="2"/>
  <c r="N59" i="2"/>
  <c r="R59" i="2"/>
  <c r="S59" i="2"/>
  <c r="T59" i="2"/>
  <c r="V59" i="2" s="1"/>
  <c r="W59" i="2" s="1"/>
  <c r="U59" i="2"/>
  <c r="AA59" i="2" s="1"/>
  <c r="E60" i="2"/>
  <c r="H60" i="2"/>
  <c r="R60" i="2" s="1"/>
  <c r="N60" i="2"/>
  <c r="S60" i="2"/>
  <c r="T60" i="2"/>
  <c r="E61" i="2"/>
  <c r="H61" i="2"/>
  <c r="R61" i="2" s="1"/>
  <c r="T61" i="2" s="1"/>
  <c r="N61" i="2"/>
  <c r="S61" i="2"/>
  <c r="E62" i="2"/>
  <c r="H62" i="2"/>
  <c r="N62" i="2"/>
  <c r="R62" i="2"/>
  <c r="S62" i="2"/>
  <c r="AB62" i="2"/>
  <c r="E63" i="2"/>
  <c r="H63" i="2"/>
  <c r="N63" i="2"/>
  <c r="R63" i="2"/>
  <c r="S63" i="2"/>
  <c r="T63" i="2"/>
  <c r="E64" i="2"/>
  <c r="H64" i="2"/>
  <c r="N64" i="2"/>
  <c r="R64" i="2"/>
  <c r="S64" i="2"/>
  <c r="T64" i="2"/>
  <c r="E65" i="2"/>
  <c r="H65" i="2"/>
  <c r="N65" i="2"/>
  <c r="R65" i="2"/>
  <c r="S65" i="2"/>
  <c r="E66" i="2"/>
  <c r="H66" i="2"/>
  <c r="R66" i="2" s="1"/>
  <c r="N66" i="2"/>
  <c r="S66" i="2"/>
  <c r="E67" i="2"/>
  <c r="H67" i="2"/>
  <c r="N67" i="2"/>
  <c r="R67" i="2"/>
  <c r="X66" i="2" s="1"/>
  <c r="S67" i="2"/>
  <c r="T67" i="2"/>
  <c r="E68" i="2"/>
  <c r="H68" i="2"/>
  <c r="R68" i="2" s="1"/>
  <c r="N68" i="2"/>
  <c r="S68" i="2"/>
  <c r="E69" i="2"/>
  <c r="H69" i="2"/>
  <c r="N69" i="2"/>
  <c r="R69" i="2"/>
  <c r="S69" i="2"/>
  <c r="AB69" i="2"/>
  <c r="E70" i="2"/>
  <c r="N70" i="2"/>
  <c r="S70" i="2"/>
  <c r="E71" i="2"/>
  <c r="H71" i="2"/>
  <c r="N71" i="2"/>
  <c r="R71" i="2"/>
  <c r="S71" i="2"/>
  <c r="T71" i="2"/>
  <c r="X71" i="2"/>
  <c r="E72" i="2"/>
  <c r="H72" i="2"/>
  <c r="R72" i="2" s="1"/>
  <c r="N72" i="2"/>
  <c r="S72" i="2"/>
  <c r="G73" i="2"/>
  <c r="H70" i="2" s="1"/>
  <c r="R70" i="2" s="1"/>
  <c r="D74" i="2"/>
  <c r="AB74" i="2" s="1"/>
  <c r="H75" i="2"/>
  <c r="N75" i="2"/>
  <c r="R75" i="2"/>
  <c r="S75" i="2"/>
  <c r="T75" i="2"/>
  <c r="U75" i="2"/>
  <c r="V75" i="2"/>
  <c r="W75" i="2"/>
  <c r="AA75" i="2"/>
  <c r="E76" i="2"/>
  <c r="N76" i="2"/>
  <c r="S76" i="2"/>
  <c r="E77" i="2"/>
  <c r="H77" i="2"/>
  <c r="N77" i="2"/>
  <c r="R77" i="2"/>
  <c r="S77" i="2"/>
  <c r="E78" i="2"/>
  <c r="H78" i="2"/>
  <c r="N78" i="2"/>
  <c r="R78" i="2"/>
  <c r="S78" i="2"/>
  <c r="T78" i="2"/>
  <c r="E79" i="2"/>
  <c r="N79" i="2"/>
  <c r="S79" i="2"/>
  <c r="E80" i="2"/>
  <c r="H80" i="2"/>
  <c r="R80" i="2" s="1"/>
  <c r="N80" i="2"/>
  <c r="S80" i="2"/>
  <c r="E81" i="2"/>
  <c r="H81" i="2"/>
  <c r="R81" i="2" s="1"/>
  <c r="N81" i="2"/>
  <c r="S81" i="2"/>
  <c r="E82" i="2"/>
  <c r="H82" i="2"/>
  <c r="N82" i="2"/>
  <c r="R82" i="2"/>
  <c r="T82" i="2" s="1"/>
  <c r="S82" i="2"/>
  <c r="E83" i="2"/>
  <c r="N83" i="2"/>
  <c r="S83" i="2"/>
  <c r="E84" i="2"/>
  <c r="H84" i="2"/>
  <c r="N84" i="2"/>
  <c r="R84" i="2"/>
  <c r="S84" i="2"/>
  <c r="E85" i="2"/>
  <c r="H85" i="2"/>
  <c r="R85" i="2" s="1"/>
  <c r="N85" i="2"/>
  <c r="S85" i="2"/>
  <c r="T85" i="2"/>
  <c r="E86" i="2"/>
  <c r="N86" i="2"/>
  <c r="S86" i="2"/>
  <c r="E87" i="2"/>
  <c r="N87" i="2"/>
  <c r="S87" i="2"/>
  <c r="E88" i="2"/>
  <c r="H88" i="2"/>
  <c r="R88" i="2" s="1"/>
  <c r="N88" i="2"/>
  <c r="S88" i="2"/>
  <c r="X88" i="2"/>
  <c r="G89" i="2"/>
  <c r="AV26" i="2" l="1"/>
  <c r="AV10" i="2"/>
  <c r="T38" i="2"/>
  <c r="AB64" i="2"/>
  <c r="X63" i="2"/>
  <c r="X72" i="2"/>
  <c r="T72" i="2"/>
  <c r="Y72" i="2" s="1"/>
  <c r="Z72" i="2" s="1"/>
  <c r="H73" i="2"/>
  <c r="M73" i="2" s="1"/>
  <c r="I73" i="2"/>
  <c r="J73" i="2"/>
  <c r="T65" i="2"/>
  <c r="V67" i="2" s="1"/>
  <c r="W67" i="2" s="1"/>
  <c r="AB65" i="2"/>
  <c r="T34" i="2"/>
  <c r="X34" i="2"/>
  <c r="U71" i="2"/>
  <c r="AA71" i="2" s="1"/>
  <c r="X62" i="2"/>
  <c r="AB63" i="2"/>
  <c r="T62" i="2"/>
  <c r="X61" i="2"/>
  <c r="AB61" i="2"/>
  <c r="U63" i="2"/>
  <c r="AA63" i="2" s="1"/>
  <c r="X60" i="2"/>
  <c r="T55" i="2"/>
  <c r="AL55" i="2"/>
  <c r="X69" i="2"/>
  <c r="T51" i="2"/>
  <c r="AL51" i="2"/>
  <c r="T69" i="2"/>
  <c r="X68" i="2"/>
  <c r="AB21" i="2"/>
  <c r="X21" i="2"/>
  <c r="T21" i="2"/>
  <c r="X65" i="2"/>
  <c r="R27" i="2"/>
  <c r="AL54" i="2"/>
  <c r="T54" i="2"/>
  <c r="V62" i="2"/>
  <c r="V60" i="2"/>
  <c r="V61" i="2"/>
  <c r="V63" i="2"/>
  <c r="W63" i="2" s="1"/>
  <c r="AB81" i="2"/>
  <c r="T80" i="2"/>
  <c r="T46" i="2"/>
  <c r="AL46" i="2"/>
  <c r="U67" i="2"/>
  <c r="AA67" i="2" s="1"/>
  <c r="H39" i="2"/>
  <c r="R39" i="2" s="1"/>
  <c r="H30" i="2"/>
  <c r="R30" i="2" s="1"/>
  <c r="H29" i="2"/>
  <c r="R29" i="2" s="1"/>
  <c r="H31" i="2"/>
  <c r="R31" i="2" s="1"/>
  <c r="H28" i="2"/>
  <c r="R28" i="2" s="1"/>
  <c r="H37" i="2"/>
  <c r="R37" i="2" s="1"/>
  <c r="H36" i="2"/>
  <c r="R36" i="2" s="1"/>
  <c r="H32" i="2"/>
  <c r="R32" i="2" s="1"/>
  <c r="H35" i="2"/>
  <c r="R35" i="2" s="1"/>
  <c r="H40" i="2"/>
  <c r="R40" i="2" s="1"/>
  <c r="T84" i="2"/>
  <c r="AB84" i="2"/>
  <c r="V64" i="2"/>
  <c r="H33" i="2"/>
  <c r="R33" i="2" s="1"/>
  <c r="X67" i="2"/>
  <c r="U64" i="2"/>
  <c r="AA64" i="2" s="1"/>
  <c r="H89" i="2"/>
  <c r="I89" i="2"/>
  <c r="T23" i="2"/>
  <c r="X78" i="2"/>
  <c r="H15" i="2"/>
  <c r="R15" i="2" s="1"/>
  <c r="H19" i="2"/>
  <c r="R19" i="2" s="1"/>
  <c r="H18" i="2"/>
  <c r="R18" i="2" s="1"/>
  <c r="H20" i="2"/>
  <c r="R20" i="2" s="1"/>
  <c r="H17" i="2"/>
  <c r="R17" i="2" s="1"/>
  <c r="H24" i="2"/>
  <c r="R24" i="2" s="1"/>
  <c r="H12" i="2"/>
  <c r="R12" i="2" s="1"/>
  <c r="H14" i="2"/>
  <c r="R14" i="2" s="1"/>
  <c r="H11" i="2"/>
  <c r="U66" i="2"/>
  <c r="AA66" i="2" s="1"/>
  <c r="U69" i="2"/>
  <c r="AA69" i="2" s="1"/>
  <c r="U61" i="2"/>
  <c r="AA61" i="2" s="1"/>
  <c r="U60" i="2"/>
  <c r="AA60" i="2" s="1"/>
  <c r="U65" i="2"/>
  <c r="AA65" i="2" s="1"/>
  <c r="U62" i="2"/>
  <c r="AA62" i="2" s="1"/>
  <c r="X59" i="2"/>
  <c r="U72" i="2"/>
  <c r="AA72" i="2" s="1"/>
  <c r="U68" i="2"/>
  <c r="AA68" i="2" s="1"/>
  <c r="U70" i="2"/>
  <c r="AA70" i="2" s="1"/>
  <c r="H22" i="2"/>
  <c r="R22" i="2" s="1"/>
  <c r="T68" i="2"/>
  <c r="AB68" i="2"/>
  <c r="AV58" i="2"/>
  <c r="AL61" i="2" s="1"/>
  <c r="AL66" i="2"/>
  <c r="X77" i="2"/>
  <c r="AB85" i="2"/>
  <c r="H13" i="2"/>
  <c r="R13" i="2" s="1"/>
  <c r="T81" i="2"/>
  <c r="X81" i="2"/>
  <c r="H16" i="2"/>
  <c r="R16" i="2" s="1"/>
  <c r="T88" i="2"/>
  <c r="Y88" i="2" s="1"/>
  <c r="Z88" i="2" s="1"/>
  <c r="H50" i="2"/>
  <c r="R50" i="2" s="1"/>
  <c r="H53" i="2"/>
  <c r="R53" i="2" s="1"/>
  <c r="H43" i="2"/>
  <c r="H48" i="2"/>
  <c r="R48" i="2" s="1"/>
  <c r="H52" i="2"/>
  <c r="R52" i="2" s="1"/>
  <c r="X51" i="2" s="1"/>
  <c r="H44" i="2"/>
  <c r="R44" i="2" s="1"/>
  <c r="H56" i="2"/>
  <c r="R56" i="2" s="1"/>
  <c r="H47" i="2"/>
  <c r="R47" i="2" s="1"/>
  <c r="X46" i="2" s="1"/>
  <c r="H45" i="2"/>
  <c r="R45" i="2" s="1"/>
  <c r="H49" i="2"/>
  <c r="R49" i="2" s="1"/>
  <c r="T70" i="2"/>
  <c r="Y70" i="2" s="1"/>
  <c r="X70" i="2"/>
  <c r="AB78" i="2"/>
  <c r="T77" i="2"/>
  <c r="AB67" i="2"/>
  <c r="T66" i="2"/>
  <c r="Y66" i="2" s="1"/>
  <c r="Z66" i="2" s="1"/>
  <c r="H79" i="2"/>
  <c r="R79" i="2" s="1"/>
  <c r="H86" i="2"/>
  <c r="R86" i="2" s="1"/>
  <c r="H76" i="2"/>
  <c r="H87" i="2"/>
  <c r="R87" i="2" s="1"/>
  <c r="H83" i="2"/>
  <c r="R83" i="2" s="1"/>
  <c r="X64" i="2"/>
  <c r="AL63" i="2" l="1"/>
  <c r="AM63" i="2" s="1"/>
  <c r="AL67" i="2"/>
  <c r="AM67" i="2" s="1"/>
  <c r="AL59" i="2"/>
  <c r="AM59" i="2" s="1"/>
  <c r="AL72" i="2"/>
  <c r="AR72" i="2" s="1"/>
  <c r="AL65" i="2"/>
  <c r="AM65" i="2" s="1"/>
  <c r="AL69" i="2"/>
  <c r="AM69" i="2" s="1"/>
  <c r="AN69" i="2" s="1"/>
  <c r="AM61" i="2"/>
  <c r="AN61" i="2" s="1"/>
  <c r="X36" i="2"/>
  <c r="AB36" i="2"/>
  <c r="T36" i="2"/>
  <c r="AB37" i="2"/>
  <c r="T37" i="2"/>
  <c r="Y37" i="2" s="1"/>
  <c r="X37" i="2"/>
  <c r="AB35" i="2"/>
  <c r="T31" i="2"/>
  <c r="Y31" i="2" s="1"/>
  <c r="AB32" i="2"/>
  <c r="X31" i="2"/>
  <c r="AB46" i="2"/>
  <c r="X45" i="2"/>
  <c r="AL45" i="2"/>
  <c r="T45" i="2"/>
  <c r="T39" i="2"/>
  <c r="X39" i="2"/>
  <c r="T56" i="2"/>
  <c r="Y56" i="2" s="1"/>
  <c r="X56" i="2"/>
  <c r="AL56" i="2"/>
  <c r="AN51" i="2"/>
  <c r="Y51" i="2"/>
  <c r="Z51" i="2" s="1"/>
  <c r="AL14" i="2"/>
  <c r="AL30" i="2"/>
  <c r="T14" i="2"/>
  <c r="AB15" i="2"/>
  <c r="X14" i="2"/>
  <c r="T24" i="2"/>
  <c r="Y24" i="2" s="1"/>
  <c r="X24" i="2"/>
  <c r="AL40" i="2"/>
  <c r="AM40" i="2" s="1"/>
  <c r="AL24" i="2"/>
  <c r="AN55" i="2"/>
  <c r="AR55" i="2"/>
  <c r="X50" i="2"/>
  <c r="AB51" i="2"/>
  <c r="T50" i="2"/>
  <c r="Y50" i="2" s="1"/>
  <c r="Z50" i="2" s="1"/>
  <c r="AL50" i="2"/>
  <c r="AL17" i="2"/>
  <c r="AM17" i="2" s="1"/>
  <c r="X17" i="2"/>
  <c r="T17" i="2"/>
  <c r="AL33" i="2"/>
  <c r="Y55" i="2"/>
  <c r="Z55" i="2" s="1"/>
  <c r="AL18" i="2"/>
  <c r="AL34" i="2"/>
  <c r="AM34" i="2"/>
  <c r="X18" i="2"/>
  <c r="AB19" i="2"/>
  <c r="AM18" i="2"/>
  <c r="T18" i="2"/>
  <c r="Y18" i="2" s="1"/>
  <c r="Z18" i="2" s="1"/>
  <c r="X15" i="2"/>
  <c r="T15" i="2"/>
  <c r="AL31" i="2"/>
  <c r="AL15" i="2"/>
  <c r="AM15" i="2"/>
  <c r="AB16" i="2"/>
  <c r="Y59" i="2"/>
  <c r="Z59" i="2" s="1"/>
  <c r="AL13" i="2"/>
  <c r="AM13" i="2" s="1"/>
  <c r="X13" i="2"/>
  <c r="T13" i="2"/>
  <c r="AL29" i="2"/>
  <c r="AB14" i="2"/>
  <c r="V71" i="2"/>
  <c r="W71" i="2" s="1"/>
  <c r="W60" i="2"/>
  <c r="I41" i="2"/>
  <c r="K41" i="2"/>
  <c r="X87" i="2"/>
  <c r="T87" i="2"/>
  <c r="Y87" i="2" s="1"/>
  <c r="V66" i="2"/>
  <c r="W66" i="2" s="1"/>
  <c r="M89" i="2"/>
  <c r="K89" i="2"/>
  <c r="L89" i="2"/>
  <c r="R76" i="2"/>
  <c r="W64" i="2"/>
  <c r="X86" i="2"/>
  <c r="AL70" i="2"/>
  <c r="AM70" i="2"/>
  <c r="T86" i="2"/>
  <c r="X85" i="2"/>
  <c r="X54" i="2"/>
  <c r="T32" i="2"/>
  <c r="X32" i="2"/>
  <c r="AB33" i="2"/>
  <c r="AL37" i="2"/>
  <c r="AM37" i="2" s="1"/>
  <c r="X28" i="2"/>
  <c r="AB29" i="2"/>
  <c r="T28" i="2"/>
  <c r="Z70" i="2"/>
  <c r="X29" i="2"/>
  <c r="T29" i="2"/>
  <c r="AB30" i="2"/>
  <c r="X30" i="2"/>
  <c r="T30" i="2"/>
  <c r="Y30" i="2" s="1"/>
  <c r="Z30" i="2" s="1"/>
  <c r="AB31" i="2"/>
  <c r="AL44" i="2"/>
  <c r="AB45" i="2"/>
  <c r="T44" i="2"/>
  <c r="X44" i="2"/>
  <c r="AN46" i="2"/>
  <c r="H25" i="2"/>
  <c r="L25" i="2" s="1"/>
  <c r="I25" i="2"/>
  <c r="J25" i="2"/>
  <c r="AL28" i="2"/>
  <c r="AM28" i="2" s="1"/>
  <c r="X12" i="2"/>
  <c r="T12" i="2"/>
  <c r="AL12" i="2"/>
  <c r="AM12" i="2" s="1"/>
  <c r="AN67" i="2"/>
  <c r="T20" i="2"/>
  <c r="X20" i="2"/>
  <c r="AL36" i="2"/>
  <c r="AM36" i="2"/>
  <c r="AB20" i="2"/>
  <c r="AL20" i="2"/>
  <c r="AM20" i="2"/>
  <c r="V68" i="2"/>
  <c r="W68" i="2" s="1"/>
  <c r="X16" i="2"/>
  <c r="AL32" i="2"/>
  <c r="T16" i="2"/>
  <c r="AL16" i="2"/>
  <c r="AM16" i="2"/>
  <c r="AB17" i="2"/>
  <c r="V72" i="2"/>
  <c r="W72" i="2" s="1"/>
  <c r="X19" i="2"/>
  <c r="AL35" i="2"/>
  <c r="AM35" i="2" s="1"/>
  <c r="T19" i="2"/>
  <c r="AL19" i="2"/>
  <c r="AM19" i="2"/>
  <c r="Y63" i="2"/>
  <c r="Z63" i="2" s="1"/>
  <c r="H41" i="2"/>
  <c r="L41" i="2" s="1"/>
  <c r="M41" i="2"/>
  <c r="V69" i="2"/>
  <c r="W69" i="2" s="1"/>
  <c r="X83" i="2"/>
  <c r="T83" i="2"/>
  <c r="AB83" i="2"/>
  <c r="X80" i="2"/>
  <c r="X82" i="2"/>
  <c r="X33" i="2"/>
  <c r="T33" i="2"/>
  <c r="Y33" i="2" s="1"/>
  <c r="Z33" i="2" s="1"/>
  <c r="X38" i="2"/>
  <c r="AL39" i="2"/>
  <c r="AM39" i="2" s="1"/>
  <c r="Y38" i="2"/>
  <c r="Z38" i="2" s="1"/>
  <c r="Y23" i="2"/>
  <c r="Z23" i="2" s="1"/>
  <c r="X79" i="2"/>
  <c r="AB80" i="2"/>
  <c r="T79" i="2"/>
  <c r="AB79" i="2"/>
  <c r="AL68" i="2"/>
  <c r="AR67" i="2" s="1"/>
  <c r="L73" i="2"/>
  <c r="X23" i="2"/>
  <c r="AN54" i="2"/>
  <c r="Y62" i="2"/>
  <c r="Z62" i="2" s="1"/>
  <c r="Y61" i="2"/>
  <c r="Z61" i="2" s="1"/>
  <c r="Y60" i="2"/>
  <c r="Z60" i="2" s="1"/>
  <c r="AL64" i="2"/>
  <c r="T22" i="2"/>
  <c r="AL22" i="2"/>
  <c r="AL38" i="2"/>
  <c r="AM38" i="2"/>
  <c r="X22" i="2"/>
  <c r="AL23" i="2"/>
  <c r="AM23" i="2" s="1"/>
  <c r="X40" i="2"/>
  <c r="T40" i="2"/>
  <c r="Y40" i="2" s="1"/>
  <c r="Z40" i="2" s="1"/>
  <c r="AL62" i="2"/>
  <c r="K73" i="2"/>
  <c r="Y34" i="2"/>
  <c r="Z34" i="2" s="1"/>
  <c r="AL21" i="2"/>
  <c r="T49" i="2"/>
  <c r="AL49" i="2"/>
  <c r="X49" i="2"/>
  <c r="Y65" i="2"/>
  <c r="Z65" i="2" s="1"/>
  <c r="Y64" i="2"/>
  <c r="Z64" i="2" s="1"/>
  <c r="X47" i="2"/>
  <c r="AB48" i="2"/>
  <c r="AL47" i="2"/>
  <c r="AR46" i="2" s="1"/>
  <c r="T47" i="2"/>
  <c r="Y69" i="2"/>
  <c r="Z69" i="2" s="1"/>
  <c r="AL52" i="2"/>
  <c r="X52" i="2"/>
  <c r="AB52" i="2"/>
  <c r="T52" i="2"/>
  <c r="Y52" i="2" s="1"/>
  <c r="Z52" i="2" s="1"/>
  <c r="AB47" i="2"/>
  <c r="AL48" i="2"/>
  <c r="AB49" i="2"/>
  <c r="T48" i="2"/>
  <c r="X48" i="2"/>
  <c r="I57" i="2"/>
  <c r="R43" i="2"/>
  <c r="H57" i="2"/>
  <c r="J57" i="2" s="1"/>
  <c r="K57" i="2"/>
  <c r="M57" i="2"/>
  <c r="L57" i="2"/>
  <c r="T53" i="2"/>
  <c r="Y53" i="2" s="1"/>
  <c r="AL53" i="2"/>
  <c r="AB53" i="2"/>
  <c r="X53" i="2"/>
  <c r="X55" i="2"/>
  <c r="W61" i="2"/>
  <c r="Y71" i="2"/>
  <c r="Z71" i="2" s="1"/>
  <c r="V70" i="2"/>
  <c r="W70" i="2" s="1"/>
  <c r="V65" i="2"/>
  <c r="W65" i="2" s="1"/>
  <c r="AL71" i="2"/>
  <c r="Y67" i="2"/>
  <c r="Z67" i="2" s="1"/>
  <c r="Y68" i="2"/>
  <c r="Z68" i="2" s="1"/>
  <c r="W62" i="2"/>
  <c r="X84" i="2"/>
  <c r="AM66" i="2"/>
  <c r="AN66" i="2" s="1"/>
  <c r="J89" i="2"/>
  <c r="T35" i="2"/>
  <c r="X35" i="2"/>
  <c r="T27" i="2"/>
  <c r="U27" i="2"/>
  <c r="AA27" i="2" s="1"/>
  <c r="U31" i="2"/>
  <c r="AA31" i="2" s="1"/>
  <c r="U35" i="2"/>
  <c r="AA35" i="2" s="1"/>
  <c r="U38" i="2"/>
  <c r="AA38" i="2" s="1"/>
  <c r="U39" i="2"/>
  <c r="AA39" i="2" s="1"/>
  <c r="U32" i="2"/>
  <c r="AA32" i="2" s="1"/>
  <c r="U36" i="2"/>
  <c r="AA36" i="2" s="1"/>
  <c r="U29" i="2"/>
  <c r="AA29" i="2" s="1"/>
  <c r="X27" i="2"/>
  <c r="U34" i="2"/>
  <c r="AA34" i="2" s="1"/>
  <c r="U37" i="2"/>
  <c r="AA37" i="2" s="1"/>
  <c r="U28" i="2"/>
  <c r="AA28" i="2" s="1"/>
  <c r="U40" i="2"/>
  <c r="AA40" i="2" s="1"/>
  <c r="U33" i="2"/>
  <c r="AA33" i="2" s="1"/>
  <c r="U30" i="2"/>
  <c r="AA30" i="2" s="1"/>
  <c r="AN63" i="2" l="1"/>
  <c r="Y22" i="2"/>
  <c r="Z22" i="2" s="1"/>
  <c r="Y12" i="2"/>
  <c r="Z12" i="2" s="1"/>
  <c r="AO59" i="2"/>
  <c r="AU59" i="2" s="1"/>
  <c r="AN59" i="2"/>
  <c r="AM72" i="2"/>
  <c r="AN72" i="2" s="1"/>
  <c r="AS72" i="2" s="1"/>
  <c r="AT72" i="2" s="1"/>
  <c r="AR66" i="2"/>
  <c r="AV67" i="2"/>
  <c r="AR65" i="2"/>
  <c r="AN65" i="2"/>
  <c r="AN49" i="2"/>
  <c r="AR49" i="2"/>
  <c r="AR32" i="2"/>
  <c r="AV33" i="2"/>
  <c r="AR44" i="2"/>
  <c r="AN44" i="2"/>
  <c r="AV45" i="2"/>
  <c r="AV31" i="2"/>
  <c r="AR30" i="2"/>
  <c r="Y49" i="2"/>
  <c r="Z49" i="2" s="1"/>
  <c r="Y86" i="2"/>
  <c r="Z86" i="2" s="1"/>
  <c r="Y85" i="2"/>
  <c r="Z85" i="2" s="1"/>
  <c r="AN14" i="2"/>
  <c r="AV15" i="2"/>
  <c r="AR14" i="2"/>
  <c r="AV21" i="2"/>
  <c r="AR21" i="2"/>
  <c r="AV53" i="2"/>
  <c r="AN53" i="2"/>
  <c r="AS53" i="2" s="1"/>
  <c r="AR53" i="2"/>
  <c r="AM21" i="2"/>
  <c r="AN21" i="2" s="1"/>
  <c r="AR39" i="2"/>
  <c r="AN39" i="2"/>
  <c r="AN70" i="2"/>
  <c r="AR70" i="2"/>
  <c r="AR51" i="2"/>
  <c r="Z53" i="2"/>
  <c r="AN20" i="2"/>
  <c r="AV20" i="2"/>
  <c r="AR20" i="2"/>
  <c r="Y80" i="2"/>
  <c r="Z80" i="2" s="1"/>
  <c r="Y21" i="2"/>
  <c r="Z21" i="2" s="1"/>
  <c r="AN34" i="2"/>
  <c r="AV35" i="2"/>
  <c r="AR34" i="2"/>
  <c r="AN56" i="2"/>
  <c r="AS56" i="2" s="1"/>
  <c r="AR56" i="2"/>
  <c r="X76" i="2"/>
  <c r="AB77" i="2"/>
  <c r="AL60" i="2"/>
  <c r="AM60" i="2" s="1"/>
  <c r="U79" i="2"/>
  <c r="AA79" i="2" s="1"/>
  <c r="U78" i="2"/>
  <c r="AA78" i="2" s="1"/>
  <c r="T76" i="2"/>
  <c r="U76" i="2"/>
  <c r="AA76" i="2" s="1"/>
  <c r="U84" i="2"/>
  <c r="AA84" i="2" s="1"/>
  <c r="X75" i="2"/>
  <c r="U77" i="2"/>
  <c r="AA77" i="2" s="1"/>
  <c r="U86" i="2"/>
  <c r="AA86" i="2" s="1"/>
  <c r="U88" i="2"/>
  <c r="AA88" i="2" s="1"/>
  <c r="U83" i="2"/>
  <c r="AA83" i="2" s="1"/>
  <c r="U85" i="2"/>
  <c r="AA85" i="2" s="1"/>
  <c r="U81" i="2"/>
  <c r="AA81" i="2" s="1"/>
  <c r="U82" i="2"/>
  <c r="AA82" i="2" s="1"/>
  <c r="U80" i="2"/>
  <c r="AA80" i="2" s="1"/>
  <c r="U87" i="2"/>
  <c r="AA87" i="2" s="1"/>
  <c r="AN18" i="2"/>
  <c r="AR18" i="2"/>
  <c r="AV19" i="2"/>
  <c r="V27" i="2"/>
  <c r="W27" i="2" s="1"/>
  <c r="V31" i="2"/>
  <c r="W31" i="2" s="1"/>
  <c r="V33" i="2"/>
  <c r="W33" i="2" s="1"/>
  <c r="V39" i="2"/>
  <c r="W39" i="2" s="1"/>
  <c r="V32" i="2"/>
  <c r="W32" i="2" s="1"/>
  <c r="V36" i="2"/>
  <c r="W36" i="2" s="1"/>
  <c r="V38" i="2"/>
  <c r="W38" i="2" s="1"/>
  <c r="V35" i="2"/>
  <c r="W35" i="2" s="1"/>
  <c r="V34" i="2"/>
  <c r="W34" i="2" s="1"/>
  <c r="V29" i="2"/>
  <c r="W29" i="2" s="1"/>
  <c r="V37" i="2"/>
  <c r="W37" i="2" s="1"/>
  <c r="V28" i="2"/>
  <c r="W28" i="2" s="1"/>
  <c r="V40" i="2"/>
  <c r="W40" i="2" s="1"/>
  <c r="Y27" i="2"/>
  <c r="Z27" i="2" s="1"/>
  <c r="V30" i="2"/>
  <c r="W30" i="2" s="1"/>
  <c r="AV63" i="2"/>
  <c r="AR62" i="2"/>
  <c r="AM62" i="2"/>
  <c r="AN62" i="2" s="1"/>
  <c r="AR36" i="2"/>
  <c r="AN36" i="2"/>
  <c r="AV36" i="2"/>
  <c r="Z56" i="2"/>
  <c r="AR33" i="2"/>
  <c r="Y35" i="2"/>
  <c r="Z35" i="2" s="1"/>
  <c r="Y20" i="2"/>
  <c r="Z20" i="2" s="1"/>
  <c r="Y17" i="2"/>
  <c r="Z17" i="2" s="1"/>
  <c r="Y39" i="2"/>
  <c r="Z39" i="2" s="1"/>
  <c r="X43" i="2"/>
  <c r="U55" i="2"/>
  <c r="AA55" i="2" s="1"/>
  <c r="AL43" i="2"/>
  <c r="U46" i="2"/>
  <c r="AA46" i="2" s="1"/>
  <c r="U45" i="2"/>
  <c r="AA45" i="2" s="1"/>
  <c r="U56" i="2"/>
  <c r="AA56" i="2" s="1"/>
  <c r="U53" i="2"/>
  <c r="AA53" i="2" s="1"/>
  <c r="U50" i="2"/>
  <c r="AA50" i="2" s="1"/>
  <c r="U51" i="2"/>
  <c r="AA51" i="2" s="1"/>
  <c r="U49" i="2"/>
  <c r="AA49" i="2" s="1"/>
  <c r="U54" i="2"/>
  <c r="AA54" i="2" s="1"/>
  <c r="U52" i="2"/>
  <c r="AA52" i="2" s="1"/>
  <c r="U44" i="2"/>
  <c r="AA44" i="2" s="1"/>
  <c r="U47" i="2"/>
  <c r="AA47" i="2" s="1"/>
  <c r="T43" i="2"/>
  <c r="U43" i="2"/>
  <c r="AA43" i="2" s="1"/>
  <c r="U48" i="2"/>
  <c r="AA48" i="2" s="1"/>
  <c r="AN23" i="2"/>
  <c r="AR23" i="2"/>
  <c r="Y83" i="2"/>
  <c r="Z83" i="2" s="1"/>
  <c r="Y82" i="2"/>
  <c r="Z82" i="2" s="1"/>
  <c r="AM33" i="2"/>
  <c r="AN33" i="2" s="1"/>
  <c r="Y45" i="2"/>
  <c r="Z45" i="2" s="1"/>
  <c r="Z87" i="2"/>
  <c r="AV46" i="2"/>
  <c r="AR45" i="2"/>
  <c r="AN45" i="2"/>
  <c r="AN48" i="2"/>
  <c r="AS48" i="2" s="1"/>
  <c r="AV49" i="2"/>
  <c r="AR48" i="2"/>
  <c r="AN28" i="2"/>
  <c r="AV29" i="2"/>
  <c r="AR28" i="2"/>
  <c r="Y29" i="2"/>
  <c r="Z29" i="2" s="1"/>
  <c r="AR19" i="2"/>
  <c r="AN19" i="2"/>
  <c r="M25" i="2"/>
  <c r="AR35" i="2"/>
  <c r="AN35" i="2"/>
  <c r="K25" i="2"/>
  <c r="Z24" i="2"/>
  <c r="AV16" i="2"/>
  <c r="AR15" i="2"/>
  <c r="AN15" i="2"/>
  <c r="AR68" i="2"/>
  <c r="AV68" i="2"/>
  <c r="AM68" i="2"/>
  <c r="AN68" i="2" s="1"/>
  <c r="AR31" i="2"/>
  <c r="AV32" i="2"/>
  <c r="Y81" i="2"/>
  <c r="Z81" i="2" s="1"/>
  <c r="AV17" i="2"/>
  <c r="AR16" i="2"/>
  <c r="AN16" i="2"/>
  <c r="Y15" i="2"/>
  <c r="Z15" i="2" s="1"/>
  <c r="Y14" i="2"/>
  <c r="Z14" i="2" s="1"/>
  <c r="AR12" i="2"/>
  <c r="AN12" i="2"/>
  <c r="AV13" i="2"/>
  <c r="AN38" i="2"/>
  <c r="AR38" i="2"/>
  <c r="AN17" i="2"/>
  <c r="AR17" i="2"/>
  <c r="AR22" i="2"/>
  <c r="AV51" i="2"/>
  <c r="AR50" i="2"/>
  <c r="AN50" i="2"/>
  <c r="AM22" i="2"/>
  <c r="AN22" i="2" s="1"/>
  <c r="AV65" i="2"/>
  <c r="AR64" i="2"/>
  <c r="AM64" i="2"/>
  <c r="AN64" i="2" s="1"/>
  <c r="J41" i="2"/>
  <c r="Z31" i="2"/>
  <c r="U12" i="2"/>
  <c r="AA12" i="2" s="1"/>
  <c r="U20" i="2"/>
  <c r="AA20" i="2" s="1"/>
  <c r="U24" i="2"/>
  <c r="AA24" i="2" s="1"/>
  <c r="U16" i="2"/>
  <c r="AA16" i="2" s="1"/>
  <c r="X11" i="2"/>
  <c r="AL27" i="2"/>
  <c r="AM27" i="2" s="1"/>
  <c r="U22" i="2"/>
  <c r="AA22" i="2" s="1"/>
  <c r="U19" i="2"/>
  <c r="AA19" i="2" s="1"/>
  <c r="U13" i="2"/>
  <c r="AA13" i="2" s="1"/>
  <c r="AL11" i="2"/>
  <c r="U21" i="2"/>
  <c r="AA21" i="2" s="1"/>
  <c r="U23" i="2"/>
  <c r="AA23" i="2" s="1"/>
  <c r="T11" i="2"/>
  <c r="U11" i="2"/>
  <c r="AA11" i="2" s="1"/>
  <c r="AM11" i="2"/>
  <c r="U15" i="2"/>
  <c r="AA15" i="2" s="1"/>
  <c r="U17" i="2"/>
  <c r="AA17" i="2" s="1"/>
  <c r="U14" i="2"/>
  <c r="AA14" i="2" s="1"/>
  <c r="U18" i="2"/>
  <c r="AA18" i="2" s="1"/>
  <c r="AR24" i="2"/>
  <c r="AM24" i="2"/>
  <c r="AN24" i="2" s="1"/>
  <c r="AS24" i="2" s="1"/>
  <c r="AT24" i="2" s="1"/>
  <c r="Y84" i="2"/>
  <c r="Z84" i="2" s="1"/>
  <c r="AN40" i="2"/>
  <c r="AS40" i="2" s="1"/>
  <c r="AR40" i="2"/>
  <c r="AR63" i="2"/>
  <c r="Y79" i="2"/>
  <c r="Z79" i="2" s="1"/>
  <c r="Y78" i="2"/>
  <c r="Z78" i="2" s="1"/>
  <c r="AR71" i="2"/>
  <c r="AM71" i="2"/>
  <c r="AN71" i="2" s="1"/>
  <c r="Y48" i="2"/>
  <c r="Z48" i="2" s="1"/>
  <c r="AP59" i="2"/>
  <c r="AQ59" i="2" s="1"/>
  <c r="AV30" i="2"/>
  <c r="AR29" i="2"/>
  <c r="AM29" i="2"/>
  <c r="AN29" i="2" s="1"/>
  <c r="Y13" i="2"/>
  <c r="Z13" i="2" s="1"/>
  <c r="AR54" i="2"/>
  <c r="Z37" i="2"/>
  <c r="AR69" i="2"/>
  <c r="AN52" i="2"/>
  <c r="AV52" i="2"/>
  <c r="AR52" i="2"/>
  <c r="Y19" i="2"/>
  <c r="Z19" i="2" s="1"/>
  <c r="AN13" i="2"/>
  <c r="AV14" i="2"/>
  <c r="AR13" i="2"/>
  <c r="Y28" i="2"/>
  <c r="Z28" i="2" s="1"/>
  <c r="Y77" i="2"/>
  <c r="Z77" i="2" s="1"/>
  <c r="AV69" i="2"/>
  <c r="Y47" i="2"/>
  <c r="Z47" i="2" s="1"/>
  <c r="Y36" i="2"/>
  <c r="Z36" i="2" s="1"/>
  <c r="AR47" i="2"/>
  <c r="AN47" i="2"/>
  <c r="AV48" i="2"/>
  <c r="Y54" i="2"/>
  <c r="Z54" i="2" s="1"/>
  <c r="AV47" i="2"/>
  <c r="Y46" i="2"/>
  <c r="Z46" i="2" s="1"/>
  <c r="AV64" i="2"/>
  <c r="AN37" i="2"/>
  <c r="AR37" i="2"/>
  <c r="AV37" i="2"/>
  <c r="Y16" i="2"/>
  <c r="Z16" i="2" s="1"/>
  <c r="Y44" i="2"/>
  <c r="Z44" i="2" s="1"/>
  <c r="Y32" i="2"/>
  <c r="Z32" i="2" s="1"/>
  <c r="AM30" i="2"/>
  <c r="AN30" i="2" s="1"/>
  <c r="AV62" i="2"/>
  <c r="AM32" i="2"/>
  <c r="AN32" i="2" s="1"/>
  <c r="AM31" i="2"/>
  <c r="AN31" i="2" s="1"/>
  <c r="AM14" i="2"/>
  <c r="AR61" i="2"/>
  <c r="AS33" i="2" l="1"/>
  <c r="AT33" i="2" s="1"/>
  <c r="AS38" i="2"/>
  <c r="AS71" i="2"/>
  <c r="AT71" i="2" s="1"/>
  <c r="AS22" i="2"/>
  <c r="AT22" i="2" s="1"/>
  <c r="AS39" i="2"/>
  <c r="AT39" i="2" s="1"/>
  <c r="AS64" i="2"/>
  <c r="AT64" i="2" s="1"/>
  <c r="AS63" i="2"/>
  <c r="AT63" i="2" s="1"/>
  <c r="AS62" i="2"/>
  <c r="AT62" i="2" s="1"/>
  <c r="AS61" i="2"/>
  <c r="AT61" i="2" s="1"/>
  <c r="AS68" i="2"/>
  <c r="AT68" i="2" s="1"/>
  <c r="AS65" i="2"/>
  <c r="AT65" i="2" s="1"/>
  <c r="AS67" i="2"/>
  <c r="AT67" i="2" s="1"/>
  <c r="AS66" i="2"/>
  <c r="AT66" i="2" s="1"/>
  <c r="AS29" i="2"/>
  <c r="AT29" i="2" s="1"/>
  <c r="AS18" i="2"/>
  <c r="AT18" i="2" s="1"/>
  <c r="AS70" i="2"/>
  <c r="AT70" i="2" s="1"/>
  <c r="AT48" i="2"/>
  <c r="AS45" i="2"/>
  <c r="AT45" i="2" s="1"/>
  <c r="AO13" i="2"/>
  <c r="AU13" i="2" s="1"/>
  <c r="AO17" i="2"/>
  <c r="AU17" i="2" s="1"/>
  <c r="AO24" i="2"/>
  <c r="AU24" i="2" s="1"/>
  <c r="AO20" i="2"/>
  <c r="AU20" i="2" s="1"/>
  <c r="AR11" i="2"/>
  <c r="AO18" i="2"/>
  <c r="AU18" i="2" s="1"/>
  <c r="AO22" i="2"/>
  <c r="AU22" i="2" s="1"/>
  <c r="AO15" i="2"/>
  <c r="AU15" i="2" s="1"/>
  <c r="AO12" i="2"/>
  <c r="AU12" i="2" s="1"/>
  <c r="AO21" i="2"/>
  <c r="AU21" i="2" s="1"/>
  <c r="AO16" i="2"/>
  <c r="AU16" i="2" s="1"/>
  <c r="AO14" i="2"/>
  <c r="AU14" i="2" s="1"/>
  <c r="AO23" i="2"/>
  <c r="AU23" i="2" s="1"/>
  <c r="AO19" i="2"/>
  <c r="AU19" i="2" s="1"/>
  <c r="AN11" i="2"/>
  <c r="AO11" i="2"/>
  <c r="AU11" i="2" s="1"/>
  <c r="AS16" i="2"/>
  <c r="AT16" i="2" s="1"/>
  <c r="AT53" i="2"/>
  <c r="AS47" i="2"/>
  <c r="AT47" i="2" s="1"/>
  <c r="AS36" i="2"/>
  <c r="AT36" i="2" s="1"/>
  <c r="AT38" i="2"/>
  <c r="AS14" i="2"/>
  <c r="AT14" i="2" s="1"/>
  <c r="AT56" i="2"/>
  <c r="AS44" i="2"/>
  <c r="AT44" i="2" s="1"/>
  <c r="AS50" i="2"/>
  <c r="AT50" i="2" s="1"/>
  <c r="AS32" i="2"/>
  <c r="AT32" i="2" s="1"/>
  <c r="AS54" i="2"/>
  <c r="AT54" i="2" s="1"/>
  <c r="AS49" i="2"/>
  <c r="AT49" i="2" s="1"/>
  <c r="AS28" i="2"/>
  <c r="AT28" i="2" s="1"/>
  <c r="AS37" i="2"/>
  <c r="AT37" i="2" s="1"/>
  <c r="AS31" i="2"/>
  <c r="AT31" i="2" s="1"/>
  <c r="Y76" i="2"/>
  <c r="Z76" i="2" s="1"/>
  <c r="V85" i="2"/>
  <c r="W85" i="2" s="1"/>
  <c r="V87" i="2"/>
  <c r="W87" i="2" s="1"/>
  <c r="V88" i="2"/>
  <c r="W88" i="2" s="1"/>
  <c r="V84" i="2"/>
  <c r="W84" i="2" s="1"/>
  <c r="V78" i="2"/>
  <c r="W78" i="2" s="1"/>
  <c r="V86" i="2"/>
  <c r="W86" i="2" s="1"/>
  <c r="V80" i="2"/>
  <c r="W80" i="2" s="1"/>
  <c r="V77" i="2"/>
  <c r="W77" i="2" s="1"/>
  <c r="V82" i="2"/>
  <c r="W82" i="2" s="1"/>
  <c r="V76" i="2"/>
  <c r="W76" i="2" s="1"/>
  <c r="V83" i="2"/>
  <c r="W83" i="2" s="1"/>
  <c r="V81" i="2"/>
  <c r="W81" i="2" s="1"/>
  <c r="Y75" i="2"/>
  <c r="Z75" i="2" s="1"/>
  <c r="V79" i="2"/>
  <c r="W79" i="2" s="1"/>
  <c r="AS23" i="2"/>
  <c r="AT23" i="2" s="1"/>
  <c r="V51" i="2"/>
  <c r="W51" i="2" s="1"/>
  <c r="Y43" i="2"/>
  <c r="Z43" i="2" s="1"/>
  <c r="V55" i="2"/>
  <c r="W55" i="2" s="1"/>
  <c r="V54" i="2"/>
  <c r="W54" i="2" s="1"/>
  <c r="V45" i="2"/>
  <c r="W45" i="2" s="1"/>
  <c r="V43" i="2"/>
  <c r="W43" i="2" s="1"/>
  <c r="V50" i="2"/>
  <c r="W50" i="2" s="1"/>
  <c r="V47" i="2"/>
  <c r="W47" i="2" s="1"/>
  <c r="V49" i="2"/>
  <c r="W49" i="2" s="1"/>
  <c r="V44" i="2"/>
  <c r="W44" i="2" s="1"/>
  <c r="V52" i="2"/>
  <c r="W52" i="2" s="1"/>
  <c r="V56" i="2"/>
  <c r="W56" i="2" s="1"/>
  <c r="V53" i="2"/>
  <c r="W53" i="2" s="1"/>
  <c r="V46" i="2"/>
  <c r="W46" i="2" s="1"/>
  <c r="V48" i="2"/>
  <c r="W48" i="2" s="1"/>
  <c r="AS12" i="2"/>
  <c r="AT12" i="2" s="1"/>
  <c r="V16" i="2"/>
  <c r="W16" i="2" s="1"/>
  <c r="V12" i="2"/>
  <c r="W12" i="2" s="1"/>
  <c r="V20" i="2"/>
  <c r="W20" i="2" s="1"/>
  <c r="V24" i="2"/>
  <c r="W24" i="2" s="1"/>
  <c r="V11" i="2"/>
  <c r="W11" i="2" s="1"/>
  <c r="V23" i="2"/>
  <c r="W23" i="2" s="1"/>
  <c r="V15" i="2"/>
  <c r="W15" i="2" s="1"/>
  <c r="V13" i="2"/>
  <c r="W13" i="2" s="1"/>
  <c r="Y11" i="2"/>
  <c r="Z11" i="2" s="1"/>
  <c r="V19" i="2"/>
  <c r="W19" i="2" s="1"/>
  <c r="V21" i="2"/>
  <c r="W21" i="2" s="1"/>
  <c r="V18" i="2"/>
  <c r="W18" i="2" s="1"/>
  <c r="V17" i="2"/>
  <c r="W17" i="2" s="1"/>
  <c r="V14" i="2"/>
  <c r="W14" i="2" s="1"/>
  <c r="V22" i="2"/>
  <c r="W22" i="2" s="1"/>
  <c r="AO37" i="2"/>
  <c r="AU37" i="2" s="1"/>
  <c r="AO28" i="2"/>
  <c r="AU28" i="2" s="1"/>
  <c r="AN27" i="2"/>
  <c r="AO27" i="2"/>
  <c r="AU27" i="2" s="1"/>
  <c r="AO38" i="2"/>
  <c r="AU38" i="2" s="1"/>
  <c r="AO31" i="2"/>
  <c r="AU31" i="2" s="1"/>
  <c r="AO33" i="2"/>
  <c r="AU33" i="2" s="1"/>
  <c r="AO40" i="2"/>
  <c r="AU40" i="2" s="1"/>
  <c r="AO34" i="2"/>
  <c r="AU34" i="2" s="1"/>
  <c r="AO39" i="2"/>
  <c r="AU39" i="2" s="1"/>
  <c r="AO32" i="2"/>
  <c r="AU32" i="2" s="1"/>
  <c r="AO36" i="2"/>
  <c r="AU36" i="2" s="1"/>
  <c r="AO29" i="2"/>
  <c r="AU29" i="2" s="1"/>
  <c r="AO35" i="2"/>
  <c r="AU35" i="2" s="1"/>
  <c r="AO30" i="2"/>
  <c r="AU30" i="2" s="1"/>
  <c r="AR27" i="2"/>
  <c r="AS21" i="2"/>
  <c r="AT21" i="2" s="1"/>
  <c r="AS46" i="2"/>
  <c r="AT46" i="2" s="1"/>
  <c r="AS13" i="2"/>
  <c r="AT13" i="2" s="1"/>
  <c r="AV61" i="2"/>
  <c r="AN60" i="2"/>
  <c r="AR60" i="2"/>
  <c r="AO63" i="2"/>
  <c r="AU63" i="2" s="1"/>
  <c r="AO67" i="2"/>
  <c r="AU67" i="2" s="1"/>
  <c r="AO60" i="2"/>
  <c r="AU60" i="2" s="1"/>
  <c r="AO65" i="2"/>
  <c r="AU65" i="2" s="1"/>
  <c r="AO69" i="2"/>
  <c r="AU69" i="2" s="1"/>
  <c r="AO70" i="2"/>
  <c r="AU70" i="2" s="1"/>
  <c r="AO72" i="2"/>
  <c r="AU72" i="2" s="1"/>
  <c r="AO71" i="2"/>
  <c r="AU71" i="2" s="1"/>
  <c r="AO62" i="2"/>
  <c r="AU62" i="2" s="1"/>
  <c r="AR59" i="2"/>
  <c r="AO61" i="2"/>
  <c r="AU61" i="2" s="1"/>
  <c r="AO68" i="2"/>
  <c r="AU68" i="2" s="1"/>
  <c r="AO66" i="2"/>
  <c r="AU66" i="2" s="1"/>
  <c r="AO64" i="2"/>
  <c r="AU64" i="2" s="1"/>
  <c r="AS15" i="2"/>
  <c r="AT15" i="2" s="1"/>
  <c r="AS30" i="2"/>
  <c r="AT30" i="2" s="1"/>
  <c r="AS52" i="2"/>
  <c r="AT52" i="2" s="1"/>
  <c r="AT40" i="2"/>
  <c r="AS35" i="2"/>
  <c r="AT35" i="2" s="1"/>
  <c r="AS34" i="2"/>
  <c r="AT34" i="2" s="1"/>
  <c r="AS19" i="2"/>
  <c r="AT19" i="2" s="1"/>
  <c r="AS51" i="2"/>
  <c r="AT51" i="2" s="1"/>
  <c r="AS55" i="2"/>
  <c r="AT55" i="2" s="1"/>
  <c r="AS17" i="2"/>
  <c r="AT17" i="2" s="1"/>
  <c r="AO48" i="2"/>
  <c r="AU48" i="2" s="1"/>
  <c r="AO56" i="2"/>
  <c r="AU56" i="2" s="1"/>
  <c r="AO52" i="2"/>
  <c r="AU52" i="2" s="1"/>
  <c r="AO55" i="2"/>
  <c r="AU55" i="2" s="1"/>
  <c r="AO49" i="2"/>
  <c r="AU49" i="2" s="1"/>
  <c r="AO44" i="2"/>
  <c r="AU44" i="2" s="1"/>
  <c r="AO51" i="2"/>
  <c r="AU51" i="2" s="1"/>
  <c r="AO53" i="2"/>
  <c r="AU53" i="2" s="1"/>
  <c r="AR43" i="2"/>
  <c r="AO46" i="2"/>
  <c r="AU46" i="2" s="1"/>
  <c r="AO54" i="2"/>
  <c r="AU54" i="2" s="1"/>
  <c r="AO45" i="2"/>
  <c r="AU45" i="2" s="1"/>
  <c r="AO47" i="2"/>
  <c r="AU47" i="2" s="1"/>
  <c r="AO50" i="2"/>
  <c r="AU50" i="2" s="1"/>
  <c r="AO43" i="2"/>
  <c r="AU43" i="2" s="1"/>
  <c r="AN43" i="2"/>
  <c r="AS20" i="2"/>
  <c r="AT20" i="2" s="1"/>
  <c r="AS69" i="2"/>
  <c r="AT69" i="2" s="1"/>
  <c r="AS60" i="2" l="1"/>
  <c r="AT60" i="2" s="1"/>
  <c r="AP66" i="2"/>
  <c r="AQ66" i="2" s="1"/>
  <c r="AP61" i="2"/>
  <c r="AQ61" i="2" s="1"/>
  <c r="AP63" i="2"/>
  <c r="AQ63" i="2" s="1"/>
  <c r="AP62" i="2"/>
  <c r="AQ62" i="2" s="1"/>
  <c r="AP70" i="2"/>
  <c r="AQ70" i="2" s="1"/>
  <c r="AP60" i="2"/>
  <c r="AQ60" i="2" s="1"/>
  <c r="AP69" i="2"/>
  <c r="AQ69" i="2" s="1"/>
  <c r="AP67" i="2"/>
  <c r="AQ67" i="2" s="1"/>
  <c r="AP72" i="2"/>
  <c r="AQ72" i="2" s="1"/>
  <c r="AP65" i="2"/>
  <c r="AQ65" i="2" s="1"/>
  <c r="AP64" i="2"/>
  <c r="AQ64" i="2" s="1"/>
  <c r="AP68" i="2"/>
  <c r="AQ68" i="2" s="1"/>
  <c r="AP71" i="2"/>
  <c r="AQ71" i="2" s="1"/>
  <c r="AS59" i="2"/>
  <c r="AT59" i="2" s="1"/>
  <c r="AP13" i="2"/>
  <c r="AQ13" i="2" s="1"/>
  <c r="AP17" i="2"/>
  <c r="AQ17" i="2" s="1"/>
  <c r="AP12" i="2"/>
  <c r="AQ12" i="2" s="1"/>
  <c r="AP16" i="2"/>
  <c r="AQ16" i="2" s="1"/>
  <c r="AP24" i="2"/>
  <c r="AQ24" i="2" s="1"/>
  <c r="AS11" i="2"/>
  <c r="AT11" i="2" s="1"/>
  <c r="AP18" i="2"/>
  <c r="AQ18" i="2" s="1"/>
  <c r="AP15" i="2"/>
  <c r="AQ15" i="2" s="1"/>
  <c r="AP22" i="2"/>
  <c r="AQ22" i="2" s="1"/>
  <c r="AP21" i="2"/>
  <c r="AQ21" i="2" s="1"/>
  <c r="AP14" i="2"/>
  <c r="AQ14" i="2" s="1"/>
  <c r="AP23" i="2"/>
  <c r="AQ23" i="2" s="1"/>
  <c r="AP19" i="2"/>
  <c r="AQ19" i="2" s="1"/>
  <c r="AP11" i="2"/>
  <c r="AQ11" i="2" s="1"/>
  <c r="AP20" i="2"/>
  <c r="AQ20" i="2" s="1"/>
  <c r="AP33" i="2"/>
  <c r="AQ33" i="2" s="1"/>
  <c r="AP37" i="2"/>
  <c r="AQ37" i="2" s="1"/>
  <c r="AP28" i="2"/>
  <c r="AQ28" i="2" s="1"/>
  <c r="AP31" i="2"/>
  <c r="AQ31" i="2" s="1"/>
  <c r="AP39" i="2"/>
  <c r="AQ39" i="2" s="1"/>
  <c r="AP38" i="2"/>
  <c r="AQ38" i="2" s="1"/>
  <c r="AP40" i="2"/>
  <c r="AQ40" i="2" s="1"/>
  <c r="AP34" i="2"/>
  <c r="AQ34" i="2" s="1"/>
  <c r="AP32" i="2"/>
  <c r="AQ32" i="2" s="1"/>
  <c r="AP36" i="2"/>
  <c r="AQ36" i="2" s="1"/>
  <c r="AP29" i="2"/>
  <c r="AQ29" i="2" s="1"/>
  <c r="AP30" i="2"/>
  <c r="AQ30" i="2" s="1"/>
  <c r="AP27" i="2"/>
  <c r="AQ27" i="2" s="1"/>
  <c r="AS27" i="2"/>
  <c r="AT27" i="2" s="1"/>
  <c r="AP35" i="2"/>
  <c r="AQ35" i="2" s="1"/>
  <c r="AP48" i="2"/>
  <c r="AQ48" i="2" s="1"/>
  <c r="AP56" i="2"/>
  <c r="AQ56" i="2" s="1"/>
  <c r="AP52" i="2"/>
  <c r="AQ52" i="2" s="1"/>
  <c r="AS43" i="2"/>
  <c r="AT43" i="2" s="1"/>
  <c r="AP51" i="2"/>
  <c r="AQ51" i="2" s="1"/>
  <c r="AP55" i="2"/>
  <c r="AQ55" i="2" s="1"/>
  <c r="AP44" i="2"/>
  <c r="AQ44" i="2" s="1"/>
  <c r="AP49" i="2"/>
  <c r="AQ49" i="2" s="1"/>
  <c r="AP45" i="2"/>
  <c r="AQ45" i="2" s="1"/>
  <c r="AP50" i="2"/>
  <c r="AQ50" i="2" s="1"/>
  <c r="AP47" i="2"/>
  <c r="AQ47" i="2" s="1"/>
  <c r="AP46" i="2"/>
  <c r="AQ46" i="2" s="1"/>
  <c r="AP54" i="2"/>
  <c r="AQ54" i="2" s="1"/>
  <c r="AP43" i="2"/>
  <c r="AQ43" i="2" s="1"/>
  <c r="AP53" i="2"/>
  <c r="AQ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Dolgor Daalkhai</author>
  </authors>
  <commentList>
    <comment ref="G82" authorId="0" shapeId="0" xr:uid="{3059A478-A218-4D0B-8857-BE7613BD325B}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it was 0</t>
        </r>
      </text>
    </comment>
    <comment ref="M82" authorId="0" shapeId="0" xr:uid="{3813356B-A133-4258-8EC3-C0207F803182}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insufficient sample
</t>
        </r>
      </text>
    </comment>
    <comment ref="G84" authorId="0" shapeId="0" xr:uid="{2EF044F3-98F9-4908-922D-AC129FCE5C12}">
      <text>
        <r>
          <rPr>
            <b/>
            <sz val="9"/>
            <color indexed="81"/>
            <rFont val="Tahoma"/>
            <family val="2"/>
          </rPr>
          <t>Dolgor Daalkhai:</t>
        </r>
        <r>
          <rPr>
            <sz val="9"/>
            <color indexed="81"/>
            <rFont val="Tahoma"/>
            <family val="2"/>
          </rPr>
          <t xml:space="preserve">
it was 0</t>
        </r>
      </text>
    </comment>
  </commentList>
</comments>
</file>

<file path=xl/sharedStrings.xml><?xml version="1.0" encoding="utf-8"?>
<sst xmlns="http://schemas.openxmlformats.org/spreadsheetml/2006/main" count="105" uniqueCount="63">
  <si>
    <t xml:space="preserve">Total </t>
  </si>
  <si>
    <t>-0.5+0.25mm</t>
  </si>
  <si>
    <t>1/RD</t>
  </si>
  <si>
    <t>+0.25</t>
  </si>
  <si>
    <t>-0.5</t>
  </si>
  <si>
    <t>-2mm+0.25mm Composite</t>
  </si>
  <si>
    <t>-2+0.5mm</t>
  </si>
  <si>
    <t>+0.5</t>
  </si>
  <si>
    <t>-2</t>
  </si>
  <si>
    <t>-8mm+2.0mm Composite</t>
  </si>
  <si>
    <t>-8+2mm</t>
  </si>
  <si>
    <t>+2</t>
  </si>
  <si>
    <t>-8</t>
  </si>
  <si>
    <t>-50mm+8.0mm Composite</t>
  </si>
  <si>
    <t>-16+8mm</t>
  </si>
  <si>
    <t>+8</t>
  </si>
  <si>
    <t>-16</t>
  </si>
  <si>
    <t>-50mm+0.25mm  Composite</t>
  </si>
  <si>
    <t xml:space="preserve">-50mm+16mm </t>
  </si>
  <si>
    <t>+16</t>
  </si>
  <si>
    <t>-50</t>
  </si>
  <si>
    <t>RD+0.1 Sum (2) RD-0.1</t>
  </si>
  <si>
    <t>(5)-(2)/2</t>
  </si>
  <si>
    <t>(9)/(8)</t>
  </si>
  <si>
    <r>
      <t xml:space="preserve">Sum (4) </t>
    </r>
    <r>
      <rPr>
        <sz val="11"/>
        <color theme="1"/>
        <rFont val="Wingdings"/>
        <charset val="2"/>
      </rPr>
      <t>á</t>
    </r>
  </si>
  <si>
    <r>
      <t xml:space="preserve">Sum (2) </t>
    </r>
    <r>
      <rPr>
        <sz val="11"/>
        <color theme="1"/>
        <rFont val="Wingdings"/>
        <charset val="2"/>
      </rPr>
      <t>á</t>
    </r>
  </si>
  <si>
    <t>(6)/(5)</t>
  </si>
  <si>
    <r>
      <t xml:space="preserve">Sum (4) </t>
    </r>
    <r>
      <rPr>
        <sz val="11"/>
        <color theme="1"/>
        <rFont val="Wingdings"/>
        <charset val="2"/>
      </rPr>
      <t>â</t>
    </r>
  </si>
  <si>
    <r>
      <t xml:space="preserve">Sum (2) </t>
    </r>
    <r>
      <rPr>
        <sz val="11"/>
        <color theme="1"/>
        <rFont val="Wingdings"/>
        <charset val="2"/>
      </rPr>
      <t>â</t>
    </r>
  </si>
  <si>
    <t>(2)*(3)</t>
  </si>
  <si>
    <t>%</t>
  </si>
  <si>
    <t xml:space="preserve">% </t>
  </si>
  <si>
    <t>(%)</t>
  </si>
  <si>
    <t xml:space="preserve">gram  </t>
  </si>
  <si>
    <t xml:space="preserve">Float </t>
  </si>
  <si>
    <t xml:space="preserve">Sink </t>
  </si>
  <si>
    <t>Near-Gravity material (Mass %)</t>
  </si>
  <si>
    <t>Cum Mass % @ mid-density range</t>
  </si>
  <si>
    <t xml:space="preserve">Ash, % dry </t>
  </si>
  <si>
    <t xml:space="preserve">Q. of Mass, </t>
  </si>
  <si>
    <t>Mass, %</t>
  </si>
  <si>
    <t xml:space="preserve">Ash, dry </t>
  </si>
  <si>
    <t xml:space="preserve">Mass, </t>
  </si>
  <si>
    <t xml:space="preserve">RD </t>
  </si>
  <si>
    <t>SG</t>
  </si>
  <si>
    <t xml:space="preserve">CSN </t>
  </si>
  <si>
    <t>Sulphur, ad %</t>
  </si>
  <si>
    <t xml:space="preserve">Vol, % ad </t>
  </si>
  <si>
    <t xml:space="preserve">IM, </t>
  </si>
  <si>
    <t xml:space="preserve">Ash, ad </t>
  </si>
  <si>
    <t xml:space="preserve">Mass </t>
  </si>
  <si>
    <t xml:space="preserve">Density Fraction </t>
  </si>
  <si>
    <t xml:space="preserve">Mass % of overall </t>
  </si>
  <si>
    <t xml:space="preserve">Size Fraction, mm </t>
  </si>
  <si>
    <t xml:space="preserve">Cum. Sink </t>
  </si>
  <si>
    <t xml:space="preserve">Cum. Floats </t>
  </si>
  <si>
    <t xml:space="preserve">Fractional </t>
  </si>
  <si>
    <t>Individual</t>
  </si>
  <si>
    <t>Sampled date:</t>
  </si>
  <si>
    <t>Reported to:</t>
  </si>
  <si>
    <t>Reported date:</t>
  </si>
  <si>
    <t>Sample Description:</t>
  </si>
  <si>
    <t>Sample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</si>
</sst>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\ ?/2"/>
    <numFmt numFmtId="165" formatCode="_(* #,##0_);_(* \(#,##0\);_(* &quot;-&quot;??_);_(@_)"/>
    <numFmt numFmtId="166" formatCode="0.000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2" fontId="0" fillId="0" borderId="0" xfId="0" applyNumberFormat="1"/>
    <xf numFmtId="164" fontId="4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/>
    <xf numFmtId="167" fontId="0" fillId="0" borderId="5" xfId="0" applyNumberFormat="1" applyBorder="1"/>
    <xf numFmtId="43" fontId="0" fillId="0" borderId="5" xfId="1" applyFont="1" applyBorder="1"/>
    <xf numFmtId="166" fontId="6" fillId="2" borderId="5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43" fontId="6" fillId="2" borderId="6" xfId="1" applyFont="1" applyFill="1" applyBorder="1" applyAlignment="1">
      <alignment horizontal="center"/>
    </xf>
    <xf numFmtId="166" fontId="6" fillId="2" borderId="6" xfId="0" applyNumberFormat="1" applyFont="1" applyFill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/>
    <xf numFmtId="167" fontId="0" fillId="0" borderId="6" xfId="0" applyNumberFormat="1" applyBorder="1"/>
    <xf numFmtId="43" fontId="0" fillId="0" borderId="6" xfId="1" applyFont="1" applyBorder="1"/>
    <xf numFmtId="2" fontId="0" fillId="0" borderId="6" xfId="0" applyNumberFormat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2" fontId="6" fillId="3" borderId="6" xfId="0" applyNumberFormat="1" applyFont="1" applyFill="1" applyBorder="1" applyAlignment="1">
      <alignment horizontal="center"/>
    </xf>
    <xf numFmtId="43" fontId="6" fillId="3" borderId="6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0" applyNumberFormat="1" applyBorder="1"/>
    <xf numFmtId="2" fontId="0" fillId="0" borderId="9" xfId="0" applyNumberFormat="1" applyBorder="1"/>
    <xf numFmtId="167" fontId="0" fillId="0" borderId="9" xfId="0" applyNumberFormat="1" applyBorder="1"/>
    <xf numFmtId="43" fontId="0" fillId="0" borderId="9" xfId="1" applyFont="1" applyBorder="1"/>
    <xf numFmtId="166" fontId="6" fillId="2" borderId="9" xfId="0" applyNumberFormat="1" applyFont="1" applyFill="1" applyBorder="1" applyAlignment="1">
      <alignment horizontal="center"/>
    </xf>
    <xf numFmtId="2" fontId="6" fillId="2" borderId="6" xfId="0" quotePrefix="1" applyNumberFormat="1" applyFont="1" applyFill="1" applyBorder="1" applyAlignment="1">
      <alignment horizontal="center"/>
    </xf>
    <xf numFmtId="2" fontId="2" fillId="0" borderId="2" xfId="0" quotePrefix="1" applyNumberFormat="1" applyFont="1" applyBorder="1"/>
    <xf numFmtId="0" fontId="3" fillId="0" borderId="0" xfId="0" applyFont="1"/>
    <xf numFmtId="0" fontId="0" fillId="0" borderId="0" xfId="0" applyAlignment="1">
      <alignment horizontal="center"/>
    </xf>
    <xf numFmtId="0" fontId="0" fillId="3" borderId="9" xfId="0" applyFill="1" applyBorder="1" applyAlignment="1">
      <alignment horizontal="center"/>
    </xf>
    <xf numFmtId="2" fontId="0" fillId="0" borderId="10" xfId="0" quotePrefix="1" applyNumberFormat="1" applyBorder="1"/>
    <xf numFmtId="0" fontId="2" fillId="0" borderId="9" xfId="0" quotePrefix="1" applyFont="1" applyBorder="1"/>
    <xf numFmtId="0" fontId="2" fillId="0" borderId="11" xfId="0" quotePrefix="1" applyFont="1" applyBorder="1"/>
    <xf numFmtId="165" fontId="6" fillId="2" borderId="6" xfId="1" applyNumberFormat="1" applyFont="1" applyFill="1" applyBorder="1" applyAlignment="1">
      <alignment horizontal="center"/>
    </xf>
    <xf numFmtId="2" fontId="2" fillId="0" borderId="3" xfId="0" quotePrefix="1" applyNumberFormat="1" applyFont="1" applyBorder="1"/>
    <xf numFmtId="2" fontId="4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/>
    <xf numFmtId="164" fontId="10" fillId="0" borderId="0" xfId="0" applyNumberFormat="1" applyFont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/>
    <xf numFmtId="167" fontId="0" fillId="4" borderId="5" xfId="0" applyNumberFormat="1" applyFill="1" applyBorder="1"/>
    <xf numFmtId="43" fontId="0" fillId="4" borderId="5" xfId="1" applyFont="1" applyFill="1" applyBorder="1"/>
    <xf numFmtId="166" fontId="6" fillId="4" borderId="5" xfId="0" applyNumberFormat="1" applyFont="1" applyFill="1" applyBorder="1" applyAlignment="1">
      <alignment horizontal="center"/>
    </xf>
    <xf numFmtId="166" fontId="9" fillId="2" borderId="6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2" fontId="0" fillId="4" borderId="6" xfId="0" applyNumberFormat="1" applyFill="1" applyBorder="1"/>
    <xf numFmtId="167" fontId="0" fillId="4" borderId="6" xfId="0" applyNumberFormat="1" applyFill="1" applyBorder="1"/>
    <xf numFmtId="43" fontId="0" fillId="4" borderId="6" xfId="1" applyFont="1" applyFill="1" applyBorder="1"/>
    <xf numFmtId="166" fontId="6" fillId="4" borderId="6" xfId="0" applyNumberFormat="1" applyFon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3" fontId="0" fillId="4" borderId="9" xfId="0" applyNumberFormat="1" applyFill="1" applyBorder="1"/>
    <xf numFmtId="2" fontId="0" fillId="4" borderId="9" xfId="0" applyNumberFormat="1" applyFill="1" applyBorder="1"/>
    <xf numFmtId="167" fontId="0" fillId="4" borderId="9" xfId="0" applyNumberFormat="1" applyFill="1" applyBorder="1"/>
    <xf numFmtId="43" fontId="0" fillId="4" borderId="9" xfId="1" applyFont="1" applyFill="1" applyBorder="1"/>
    <xf numFmtId="166" fontId="6" fillId="4" borderId="9" xfId="0" applyNumberFormat="1" applyFont="1" applyFill="1" applyBorder="1" applyAlignment="1">
      <alignment horizontal="center"/>
    </xf>
    <xf numFmtId="166" fontId="6" fillId="2" borderId="6" xfId="0" quotePrefix="1" applyNumberFormat="1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3" xfId="0" applyBorder="1"/>
    <xf numFmtId="0" fontId="0" fillId="0" borderId="1" xfId="0" applyBorder="1"/>
    <xf numFmtId="0" fontId="12" fillId="0" borderId="1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0" xfId="0" applyFont="1"/>
    <xf numFmtId="14" fontId="0" fillId="0" borderId="0" xfId="0" applyNumberFormat="1"/>
    <xf numFmtId="43" fontId="0" fillId="0" borderId="6" xfId="0" applyNumberFormat="1" applyBorder="1"/>
    <xf numFmtId="43" fontId="0" fillId="0" borderId="5" xfId="0" applyNumberForma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-50+16mm composite </a:t>
            </a:r>
          </a:p>
        </c:rich>
      </c:tx>
      <c:layout>
        <c:manualLayout>
          <c:xMode val="edge"/>
          <c:yMode val="edge"/>
          <c:x val="0.1889889192246155"/>
          <c:y val="1.38528176303828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sink'!$Q$10:$AA$10</c:f>
              <c:strCache>
                <c:ptCount val="1"/>
                <c:pt idx="0">
                  <c:v>-50mm+16mm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sink'!$N$11:$N$24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sink'!$S$11:$S$24</c:f>
              <c:numCache>
                <c:formatCode>0.00</c:formatCode>
                <c:ptCount val="14"/>
                <c:pt idx="0">
                  <c:v>11.542338709677418</c:v>
                </c:pt>
                <c:pt idx="1">
                  <c:v>13.911554346731139</c:v>
                </c:pt>
                <c:pt idx="2">
                  <c:v>16.465256797583084</c:v>
                </c:pt>
                <c:pt idx="3">
                  <c:v>16.878147029204431</c:v>
                </c:pt>
                <c:pt idx="4">
                  <c:v>19.383747860235623</c:v>
                </c:pt>
                <c:pt idx="5">
                  <c:v>20.234248788368333</c:v>
                </c:pt>
                <c:pt idx="6">
                  <c:v>22.084592145015105</c:v>
                </c:pt>
                <c:pt idx="7">
                  <c:v>25.110842402257159</c:v>
                </c:pt>
                <c:pt idx="8">
                  <c:v>32.307847488400242</c:v>
                </c:pt>
                <c:pt idx="9">
                  <c:v>40.197760064574716</c:v>
                </c:pt>
                <c:pt idx="10">
                  <c:v>45.94812796447674</c:v>
                </c:pt>
                <c:pt idx="11">
                  <c:v>62.526507119054834</c:v>
                </c:pt>
                <c:pt idx="12">
                  <c:v>75.159300091028626</c:v>
                </c:pt>
                <c:pt idx="13">
                  <c:v>84.172807106086623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4-4C74-8300-C97E58B9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8288"/>
        <c:axId val="361907728"/>
      </c:scatterChart>
      <c:valAx>
        <c:axId val="60343828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907728"/>
        <c:crosses val="autoZero"/>
        <c:crossBetween val="midCat"/>
      </c:valAx>
      <c:valAx>
        <c:axId val="361907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60343828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sink'!$AQ$11:$AQ$24</c:f>
              <c:numCache>
                <c:formatCode>_(* #,##0.00_);_(* \(#,##0.00\);_(* "-"??_);_(@_)</c:formatCode>
                <c:ptCount val="14"/>
                <c:pt idx="0">
                  <c:v>5.4924555807828019</c:v>
                </c:pt>
                <c:pt idx="1">
                  <c:v>6.3933869530784895</c:v>
                </c:pt>
                <c:pt idx="2">
                  <c:v>8.080560380521387</c:v>
                </c:pt>
                <c:pt idx="3">
                  <c:v>9.6714799186388021</c:v>
                </c:pt>
                <c:pt idx="4">
                  <c:v>11.177801573637948</c:v>
                </c:pt>
                <c:pt idx="5">
                  <c:v>12.913890113219489</c:v>
                </c:pt>
                <c:pt idx="6">
                  <c:v>14.298493838083809</c:v>
                </c:pt>
                <c:pt idx="7">
                  <c:v>15.962315069025566</c:v>
                </c:pt>
                <c:pt idx="8">
                  <c:v>17.805668943149534</c:v>
                </c:pt>
                <c:pt idx="9">
                  <c:v>18.393137675590545</c:v>
                </c:pt>
                <c:pt idx="10">
                  <c:v>19.154056644643248</c:v>
                </c:pt>
                <c:pt idx="11">
                  <c:v>20.298676667810376</c:v>
                </c:pt>
                <c:pt idx="12">
                  <c:v>21.6529105712467</c:v>
                </c:pt>
                <c:pt idx="13">
                  <c:v>24.756212720542539</c:v>
                </c:pt>
              </c:numCache>
            </c:numRef>
          </c:xVal>
          <c:yVal>
            <c:numRef>
              <c:f>'Float sink'!$AO$11:$AO$24</c:f>
              <c:numCache>
                <c:formatCode>_(* #,##0.00_);_(* \(#,##0.00\);_(* "-"??_);_(@_)</c:formatCode>
                <c:ptCount val="14"/>
                <c:pt idx="0">
                  <c:v>17.4498811097653</c:v>
                </c:pt>
                <c:pt idx="1">
                  <c:v>21.901270932106573</c:v>
                </c:pt>
                <c:pt idx="2">
                  <c:v>28.87516619923219</c:v>
                </c:pt>
                <c:pt idx="3">
                  <c:v>36.932175018934373</c:v>
                </c:pt>
                <c:pt idx="4">
                  <c:v>45.723501483032081</c:v>
                </c:pt>
                <c:pt idx="5">
                  <c:v>56.146564010524479</c:v>
                </c:pt>
                <c:pt idx="6">
                  <c:v>65.660424403913311</c:v>
                </c:pt>
                <c:pt idx="7">
                  <c:v>76.47943021068528</c:v>
                </c:pt>
                <c:pt idx="8">
                  <c:v>85.56394921745084</c:v>
                </c:pt>
                <c:pt idx="9">
                  <c:v>87.852265409632295</c:v>
                </c:pt>
                <c:pt idx="10">
                  <c:v>89.820176676953267</c:v>
                </c:pt>
                <c:pt idx="11">
                  <c:v>92.311574469238536</c:v>
                </c:pt>
                <c:pt idx="12">
                  <c:v>94.771725135022919</c:v>
                </c:pt>
                <c:pt idx="13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B-45B2-8861-807841FDE73A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sink'!$AM$11:$AM$24</c:f>
              <c:numCache>
                <c:formatCode>0.00</c:formatCode>
                <c:ptCount val="14"/>
                <c:pt idx="0">
                  <c:v>5.4924555807828019</c:v>
                </c:pt>
                <c:pt idx="1">
                  <c:v>9.9251255700187304</c:v>
                </c:pt>
                <c:pt idx="2">
                  <c:v>13.37906873611184</c:v>
                </c:pt>
                <c:pt idx="3">
                  <c:v>15.373107793292675</c:v>
                </c:pt>
                <c:pt idx="4">
                  <c:v>17.505826727115064</c:v>
                </c:pt>
                <c:pt idx="5">
                  <c:v>20.529698490541861</c:v>
                </c:pt>
                <c:pt idx="6">
                  <c:v>22.469807947478056</c:v>
                </c:pt>
                <c:pt idx="7">
                  <c:v>26.060027382618724</c:v>
                </c:pt>
                <c:pt idx="8">
                  <c:v>33.324229019326232</c:v>
                </c:pt>
                <c:pt idx="9">
                  <c:v>40.359570881442458</c:v>
                </c:pt>
                <c:pt idx="10">
                  <c:v>53.123299229165852</c:v>
                </c:pt>
                <c:pt idx="11">
                  <c:v>61.564657165668272</c:v>
                </c:pt>
                <c:pt idx="12">
                  <c:v>72.467466591933288</c:v>
                </c:pt>
                <c:pt idx="13">
                  <c:v>81.009050587604463</c:v>
                </c:pt>
              </c:numCache>
            </c:numRef>
          </c:xVal>
          <c:yVal>
            <c:numRef>
              <c:f>'Float sink'!$AU$11:$AU$24</c:f>
              <c:numCache>
                <c:formatCode>0.00</c:formatCode>
                <c:ptCount val="14"/>
                <c:pt idx="0" formatCode="_(* #,##0.00_);_(* \(#,##0.00\);_(* &quot;-&quot;??_);_(@_)">
                  <c:v>8.7249405548826502</c:v>
                </c:pt>
                <c:pt idx="1">
                  <c:v>19.675576020935935</c:v>
                </c:pt>
                <c:pt idx="2">
                  <c:v>25.388218565669384</c:v>
                </c:pt>
                <c:pt idx="3">
                  <c:v>32.903670609083285</c:v>
                </c:pt>
                <c:pt idx="4">
                  <c:v>41.327838250983227</c:v>
                </c:pt>
                <c:pt idx="5">
                  <c:v>50.935032746778276</c:v>
                </c:pt>
                <c:pt idx="6">
                  <c:v>60.903494207218898</c:v>
                </c:pt>
                <c:pt idx="7">
                  <c:v>71.069927307299295</c:v>
                </c:pt>
                <c:pt idx="8">
                  <c:v>81.02168971406806</c:v>
                </c:pt>
                <c:pt idx="9">
                  <c:v>86.708107313541575</c:v>
                </c:pt>
                <c:pt idx="10">
                  <c:v>88.836221043292781</c:v>
                </c:pt>
                <c:pt idx="11">
                  <c:v>91.065875573095909</c:v>
                </c:pt>
                <c:pt idx="12">
                  <c:v>93.541649802130721</c:v>
                </c:pt>
                <c:pt idx="13">
                  <c:v>97.385862567511467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CB-45B2-8861-807841FDE73A}"/>
            </c:ext>
          </c:extLst>
        </c:ser>
        <c:ser>
          <c:idx val="4"/>
          <c:order val="4"/>
          <c:tx>
            <c:v>+/-0.1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sink'!$AJ$11:$AJ$24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sink'!$AV$11:$AV$24</c:f>
              <c:numCache>
                <c:formatCode>General</c:formatCode>
                <c:ptCount val="14"/>
                <c:pt idx="2" formatCode="0.00">
                  <c:v>28.273620373266784</c:v>
                </c:pt>
                <c:pt idx="3" formatCode="0.00">
                  <c:v>34.245293078417909</c:v>
                </c:pt>
                <c:pt idx="4" formatCode="0.00">
                  <c:v>36.785258204681114</c:v>
                </c:pt>
                <c:pt idx="5" formatCode="0.00">
                  <c:v>39.547255191750907</c:v>
                </c:pt>
                <c:pt idx="6" formatCode="0.00">
                  <c:v>39.84044773441876</c:v>
                </c:pt>
                <c:pt idx="8" formatCode="0.00">
                  <c:v>22.191841005718977</c:v>
                </c:pt>
                <c:pt idx="9" formatCode="0.00">
                  <c:v>4.2562274595024272</c:v>
                </c:pt>
                <c:pt idx="10" formatCode="0.00">
                  <c:v>4.459309059606241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CB-45B2-8861-807841FDE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34952"/>
        <c:axId val="532142496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sink'!$AT$11:$AT$24</c:f>
              <c:numCache>
                <c:formatCode>0.00</c:formatCode>
                <c:ptCount val="14"/>
                <c:pt idx="0">
                  <c:v>24.756212720542539</c:v>
                </c:pt>
                <c:pt idx="1">
                  <c:v>28.828287677371769</c:v>
                </c:pt>
                <c:pt idx="2">
                  <c:v>29.905710375781993</c:v>
                </c:pt>
                <c:pt idx="3">
                  <c:v>31.526172059182553</c:v>
                </c:pt>
                <c:pt idx="4">
                  <c:v>33.589750140312887</c:v>
                </c:pt>
                <c:pt idx="5">
                  <c:v>36.194911221305652</c:v>
                </c:pt>
                <c:pt idx="6">
                  <c:v>39.918211074899943</c:v>
                </c:pt>
                <c:pt idx="7">
                  <c:v>44.75233230558802</c:v>
                </c:pt>
                <c:pt idx="8">
                  <c:v>53.35042994161681</c:v>
                </c:pt>
                <c:pt idx="9">
                  <c:v>65.952796451145602</c:v>
                </c:pt>
                <c:pt idx="10">
                  <c:v>70.773892273221122</c:v>
                </c:pt>
                <c:pt idx="11">
                  <c:v>74.18601445098578</c:v>
                </c:pt>
                <c:pt idx="12">
                  <c:v>78.275905359140197</c:v>
                </c:pt>
                <c:pt idx="13">
                  <c:v>81.009050587604463</c:v>
                </c:pt>
              </c:numCache>
            </c:numRef>
          </c:xVal>
          <c:yVal>
            <c:numRef>
              <c:f>'Float sink'!$AR$11:$AR$24</c:f>
              <c:numCache>
                <c:formatCode>_(* #,##0.00_);_(* \(#,##0.00\);_(* "-"??_);_(@_)</c:formatCode>
                <c:ptCount val="14"/>
                <c:pt idx="0">
                  <c:v>100.00000000000001</c:v>
                </c:pt>
                <c:pt idx="1">
                  <c:v>82.550118890234714</c:v>
                </c:pt>
                <c:pt idx="2">
                  <c:v>78.098729067893444</c:v>
                </c:pt>
                <c:pt idx="3">
                  <c:v>71.124833800767817</c:v>
                </c:pt>
                <c:pt idx="4">
                  <c:v>63.067824981065627</c:v>
                </c:pt>
                <c:pt idx="5">
                  <c:v>54.276498516967919</c:v>
                </c:pt>
                <c:pt idx="6">
                  <c:v>43.853435989475514</c:v>
                </c:pt>
                <c:pt idx="7">
                  <c:v>34.339575596086689</c:v>
                </c:pt>
                <c:pt idx="8">
                  <c:v>23.520569789314727</c:v>
                </c:pt>
                <c:pt idx="9">
                  <c:v>14.436050782549167</c:v>
                </c:pt>
                <c:pt idx="10">
                  <c:v>12.147734590367715</c:v>
                </c:pt>
                <c:pt idx="11">
                  <c:v>10.179823323046737</c:v>
                </c:pt>
                <c:pt idx="12">
                  <c:v>7.6884255307614744</c:v>
                </c:pt>
                <c:pt idx="13">
                  <c:v>5.2282748649770907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CB-45B2-8861-807841FDE73A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sink'!$AJ$11:$AJ$24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sink'!$AO$11:$AO$24</c:f>
              <c:numCache>
                <c:formatCode>_(* #,##0.00_);_(* \(#,##0.00\);_(* "-"??_);_(@_)</c:formatCode>
                <c:ptCount val="14"/>
                <c:pt idx="0">
                  <c:v>17.4498811097653</c:v>
                </c:pt>
                <c:pt idx="1">
                  <c:v>21.901270932106573</c:v>
                </c:pt>
                <c:pt idx="2">
                  <c:v>28.87516619923219</c:v>
                </c:pt>
                <c:pt idx="3">
                  <c:v>36.932175018934373</c:v>
                </c:pt>
                <c:pt idx="4">
                  <c:v>45.723501483032081</c:v>
                </c:pt>
                <c:pt idx="5">
                  <c:v>56.146564010524479</c:v>
                </c:pt>
                <c:pt idx="6">
                  <c:v>65.660424403913311</c:v>
                </c:pt>
                <c:pt idx="7">
                  <c:v>76.47943021068528</c:v>
                </c:pt>
                <c:pt idx="8">
                  <c:v>85.56394921745084</c:v>
                </c:pt>
                <c:pt idx="9">
                  <c:v>87.852265409632295</c:v>
                </c:pt>
                <c:pt idx="10">
                  <c:v>89.820176676953267</c:v>
                </c:pt>
                <c:pt idx="11">
                  <c:v>92.311574469238536</c:v>
                </c:pt>
                <c:pt idx="12">
                  <c:v>94.771725135022919</c:v>
                </c:pt>
                <c:pt idx="13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CB-45B2-8861-807841FDE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08272"/>
        <c:axId val="580303024"/>
      </c:scatterChart>
      <c:valAx>
        <c:axId val="532134952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42496"/>
        <c:crosses val="autoZero"/>
        <c:crossBetween val="midCat"/>
        <c:majorUnit val="5"/>
        <c:minorUnit val="1"/>
      </c:valAx>
      <c:valAx>
        <c:axId val="5321424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34952"/>
        <c:crosses val="autoZero"/>
        <c:crossBetween val="midCat"/>
        <c:minorUnit val="5"/>
      </c:valAx>
      <c:valAx>
        <c:axId val="58030302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0308272"/>
        <c:crosses val="max"/>
        <c:crossBetween val="midCat"/>
        <c:minorUnit val="5"/>
      </c:valAx>
      <c:valAx>
        <c:axId val="5803082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3127258887440711"/>
              <c:y val="0.24448692341130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3024"/>
        <c:crosses val="max"/>
        <c:crossBetween val="midCat"/>
        <c:majorUnit val="7"/>
        <c:minorUnit val="1"/>
      </c:valAx>
      <c:spPr>
        <a:solidFill>
          <a:schemeClr val="accent4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-16+8mm</a:t>
            </a:r>
          </a:p>
        </c:rich>
      </c:tx>
      <c:layout>
        <c:manualLayout>
          <c:xMode val="edge"/>
          <c:yMode val="edge"/>
          <c:x val="0.39053921748153581"/>
          <c:y val="4.28384495416333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sink'!$Q$26:$AA$26</c:f>
              <c:strCache>
                <c:ptCount val="1"/>
                <c:pt idx="0">
                  <c:v>-16+8mm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sink'!$N$27:$N$40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sink'!$S$27:$S$40</c:f>
              <c:numCache>
                <c:formatCode>0.00</c:formatCode>
                <c:ptCount val="14"/>
                <c:pt idx="0">
                  <c:v>10.421911187191622</c:v>
                </c:pt>
                <c:pt idx="1">
                  <c:v>12.593189603062664</c:v>
                </c:pt>
                <c:pt idx="2">
                  <c:v>16.907091697770607</c:v>
                </c:pt>
                <c:pt idx="3">
                  <c:v>17.551102607995166</c:v>
                </c:pt>
                <c:pt idx="4">
                  <c:v>19.524481160588351</c:v>
                </c:pt>
                <c:pt idx="5">
                  <c:v>22.122374798061387</c:v>
                </c:pt>
                <c:pt idx="6">
                  <c:v>22.145015105740182</c:v>
                </c:pt>
                <c:pt idx="7">
                  <c:v>26.22437645158033</c:v>
                </c:pt>
                <c:pt idx="8">
                  <c:v>31.919822723609993</c:v>
                </c:pt>
                <c:pt idx="9">
                  <c:v>40.668214393862925</c:v>
                </c:pt>
                <c:pt idx="10">
                  <c:v>49.262924071082388</c:v>
                </c:pt>
                <c:pt idx="11">
                  <c:v>60.716816847220819</c:v>
                </c:pt>
                <c:pt idx="12">
                  <c:v>69.750025301082886</c:v>
                </c:pt>
                <c:pt idx="13">
                  <c:v>78.557702032972585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9-47C8-9654-D8230E7B9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8288"/>
        <c:axId val="361907728"/>
      </c:scatterChart>
      <c:valAx>
        <c:axId val="60343828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907728"/>
        <c:crosses val="autoZero"/>
        <c:crossBetween val="midCat"/>
      </c:valAx>
      <c:valAx>
        <c:axId val="361907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60343828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sink'!$Q$42:$AA$42</c:f>
              <c:strCache>
                <c:ptCount val="1"/>
                <c:pt idx="0">
                  <c:v>-8+2mm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sink'!$N$43:$N$56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sink'!$S$43:$S$56</c:f>
              <c:numCache>
                <c:formatCode>0.00</c:formatCode>
                <c:ptCount val="14"/>
                <c:pt idx="0">
                  <c:v>5.988928032209361</c:v>
                </c:pt>
                <c:pt idx="1">
                  <c:v>8.2814070351758797</c:v>
                </c:pt>
                <c:pt idx="2">
                  <c:v>12.379421221864952</c:v>
                </c:pt>
                <c:pt idx="3">
                  <c:v>14.31299628103327</c:v>
                </c:pt>
                <c:pt idx="4">
                  <c:v>16.552763819095478</c:v>
                </c:pt>
                <c:pt idx="5">
                  <c:v>20.304159532682043</c:v>
                </c:pt>
                <c:pt idx="6">
                  <c:v>22.63448969331322</c:v>
                </c:pt>
                <c:pt idx="7">
                  <c:v>27.491201608848666</c:v>
                </c:pt>
                <c:pt idx="8">
                  <c:v>35.115810674723058</c:v>
                </c:pt>
                <c:pt idx="9">
                  <c:v>42.508570276265374</c:v>
                </c:pt>
                <c:pt idx="10">
                  <c:v>58.779011099899094</c:v>
                </c:pt>
                <c:pt idx="11">
                  <c:v>63.173290296550334</c:v>
                </c:pt>
                <c:pt idx="12">
                  <c:v>74.747576736672045</c:v>
                </c:pt>
                <c:pt idx="13">
                  <c:v>83.437626160678235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1C-41F6-A5D4-906E553A6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8288"/>
        <c:axId val="361907728"/>
      </c:scatterChart>
      <c:valAx>
        <c:axId val="60343828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907728"/>
        <c:crosses val="autoZero"/>
        <c:crossBetween val="midCat"/>
      </c:valAx>
      <c:valAx>
        <c:axId val="361907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60343828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sink'!$Q$58:$AA$58</c:f>
              <c:strCache>
                <c:ptCount val="1"/>
                <c:pt idx="0">
                  <c:v>-2+0.5mm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sink'!$N$59:$N$72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sink'!$S$59:$S$72</c:f>
              <c:numCache>
                <c:formatCode>0.00</c:formatCode>
                <c:ptCount val="14"/>
                <c:pt idx="0">
                  <c:v>3.3353547604608855</c:v>
                </c:pt>
                <c:pt idx="1">
                  <c:v>8.0206331546475162</c:v>
                </c:pt>
                <c:pt idx="2">
                  <c:v>10.663172747429954</c:v>
                </c:pt>
                <c:pt idx="3">
                  <c:v>13.193812556869883</c:v>
                </c:pt>
                <c:pt idx="4">
                  <c:v>15.490394337714863</c:v>
                </c:pt>
                <c:pt idx="5">
                  <c:v>18.19927243330639</c:v>
                </c:pt>
                <c:pt idx="6">
                  <c:v>20.911933824271159</c:v>
                </c:pt>
                <c:pt idx="7">
                  <c:v>24.694721969926327</c:v>
                </c:pt>
                <c:pt idx="8">
                  <c:v>30.599050409132236</c:v>
                </c:pt>
                <c:pt idx="9">
                  <c:v>38.792666869239333</c:v>
                </c:pt>
                <c:pt idx="10">
                  <c:v>46.440129449838189</c:v>
                </c:pt>
                <c:pt idx="11">
                  <c:v>55.929113924050633</c:v>
                </c:pt>
                <c:pt idx="12">
                  <c:v>67.953394123606884</c:v>
                </c:pt>
                <c:pt idx="13">
                  <c:v>78.024091507237571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D8-4B1D-A7C2-3E2B9DE50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8288"/>
        <c:axId val="361907728"/>
      </c:scatterChart>
      <c:valAx>
        <c:axId val="60343828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907728"/>
        <c:crosses val="autoZero"/>
        <c:crossBetween val="midCat"/>
      </c:valAx>
      <c:valAx>
        <c:axId val="361907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60343828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499261429530612"/>
          <c:y val="0.17129750085587125"/>
          <c:w val="0.81530342428126712"/>
          <c:h val="0.646695576096466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'Float sink'!$Q$74:$AA$74</c:f>
              <c:strCache>
                <c:ptCount val="1"/>
                <c:pt idx="0">
                  <c:v>-0.5+0.25mm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noFill/>
              <a:ln w="3175">
                <a:solidFill>
                  <a:srgbClr val="FF000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'Float sink'!$N$75:$N$88</c:f>
              <c:numCache>
                <c:formatCode>0.00</c:formatCode>
                <c:ptCount val="14"/>
                <c:pt idx="0">
                  <c:v>0.76923076923076916</c:v>
                </c:pt>
                <c:pt idx="1">
                  <c:v>0.75471698113207553</c:v>
                </c:pt>
                <c:pt idx="2">
                  <c:v>0.7407407407407407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0.70175438596491224</c:v>
                </c:pt>
                <c:pt idx="6">
                  <c:v>0.68965517241379315</c:v>
                </c:pt>
                <c:pt idx="7">
                  <c:v>0.66666666666666663</c:v>
                </c:pt>
                <c:pt idx="8">
                  <c:v>0.625</c:v>
                </c:pt>
                <c:pt idx="9">
                  <c:v>0.58823529411764708</c:v>
                </c:pt>
                <c:pt idx="10">
                  <c:v>0.55555555555555558</c:v>
                </c:pt>
                <c:pt idx="11">
                  <c:v>0.5</c:v>
                </c:pt>
                <c:pt idx="12">
                  <c:v>0.45454545454545453</c:v>
                </c:pt>
                <c:pt idx="13">
                  <c:v>0.35714285714285715</c:v>
                </c:pt>
              </c:numCache>
            </c:numRef>
          </c:xVal>
          <c:yVal>
            <c:numRef>
              <c:f>'Float sink'!$S$75:$S$88</c:f>
              <c:numCache>
                <c:formatCode>0.00</c:formatCode>
                <c:ptCount val="14"/>
                <c:pt idx="0">
                  <c:v>7.6494991399372658</c:v>
                </c:pt>
                <c:pt idx="1">
                  <c:v>17.263711799230922</c:v>
                </c:pt>
                <c:pt idx="2">
                  <c:v>19.710467706013361</c:v>
                </c:pt>
                <c:pt idx="3">
                  <c:v>26.187094155844154</c:v>
                </c:pt>
                <c:pt idx="4">
                  <c:v>32.627419191407441</c:v>
                </c:pt>
                <c:pt idx="5">
                  <c:v>36.577215189873414</c:v>
                </c:pt>
                <c:pt idx="6">
                  <c:v>44.154002026342454</c:v>
                </c:pt>
                <c:pt idx="7">
                  <c:v>50.403225806451609</c:v>
                </c:pt>
                <c:pt idx="8">
                  <c:v>55.653584829124839</c:v>
                </c:pt>
                <c:pt idx="9">
                  <c:v>61.956521739130437</c:v>
                </c:pt>
                <c:pt idx="10">
                  <c:v>61.719383617193834</c:v>
                </c:pt>
                <c:pt idx="11">
                  <c:v>70.802770986145077</c:v>
                </c:pt>
                <c:pt idx="12">
                  <c:v>74.275653923541242</c:v>
                </c:pt>
                <c:pt idx="13">
                  <c:v>75.219541738164935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07-4983-8CAC-341AC419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438288"/>
        <c:axId val="361907728"/>
      </c:scatterChart>
      <c:valAx>
        <c:axId val="603438288"/>
        <c:scaling>
          <c:orientation val="minMax"/>
          <c:min val="0.30000000000000004"/>
        </c:scaling>
        <c:delete val="0"/>
        <c:axPos val="b"/>
        <c:title>
          <c:tx>
            <c:rich>
              <a:bodyPr/>
              <a:lstStyle/>
              <a:p>
                <a:pPr>
                  <a:defRPr b="1">
                    <a:latin typeface="Arial" pitchFamily="34" charset="0"/>
                    <a:cs typeface="Arial" pitchFamily="34" charset="0"/>
                  </a:defRPr>
                </a:pPr>
                <a:r>
                  <a:rPr lang="en-US" b="1">
                    <a:latin typeface="Arial" pitchFamily="34" charset="0"/>
                    <a:cs typeface="Arial" pitchFamily="34" charset="0"/>
                  </a:rPr>
                  <a:t>1/ Specific Gravity 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61907728"/>
        <c:crosses val="autoZero"/>
        <c:crossBetween val="midCat"/>
      </c:valAx>
      <c:valAx>
        <c:axId val="361907728"/>
        <c:scaling>
          <c:orientation val="minMax"/>
          <c:max val="9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Individual</a:t>
                </a:r>
                <a:r>
                  <a:rPr lang="en-US" b="1" baseline="0"/>
                  <a:t> Ash (%)</a:t>
                </a:r>
                <a:endParaRPr lang="en-US" b="1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603438288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  <a:ln>
          <a:solidFill>
            <a:schemeClr val="tx1">
              <a:alpha val="93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-50mm+8.0mm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sink'!$AQ$27:$AQ$40</c:f>
              <c:numCache>
                <c:formatCode>_(* #,##0.00_);_(* \(#,##0.00\);_(* "-"??_);_(@_)</c:formatCode>
                <c:ptCount val="14"/>
                <c:pt idx="0">
                  <c:v>10.998877483167597</c:v>
                </c:pt>
                <c:pt idx="1">
                  <c:v>11.653640770860685</c:v>
                </c:pt>
                <c:pt idx="2">
                  <c:v>14.252952596787827</c:v>
                </c:pt>
                <c:pt idx="3">
                  <c:v>15.597673605409254</c:v>
                </c:pt>
                <c:pt idx="4">
                  <c:v>16.924081456101586</c:v>
                </c:pt>
                <c:pt idx="5">
                  <c:v>18.493180378022629</c:v>
                </c:pt>
                <c:pt idx="6">
                  <c:v>19.383047606468068</c:v>
                </c:pt>
                <c:pt idx="7">
                  <c:v>20.989923263376852</c:v>
                </c:pt>
                <c:pt idx="8">
                  <c:v>23.022173857091872</c:v>
                </c:pt>
                <c:pt idx="9">
                  <c:v>23.717936733663961</c:v>
                </c:pt>
                <c:pt idx="10">
                  <c:v>24.124490366743213</c:v>
                </c:pt>
                <c:pt idx="11">
                  <c:v>24.771333196615718</c:v>
                </c:pt>
                <c:pt idx="12">
                  <c:v>25.840896722390806</c:v>
                </c:pt>
                <c:pt idx="13">
                  <c:v>29.180098055778863</c:v>
                </c:pt>
              </c:numCache>
            </c:numRef>
          </c:xVal>
          <c:yVal>
            <c:numRef>
              <c:f>'Float sink'!$AO$27:$AO$40</c:f>
              <c:numCache>
                <c:formatCode>_(* #,##0.00_);_(* \(#,##0.00\);_(* "-"??_);_(@_)</c:formatCode>
                <c:ptCount val="14"/>
                <c:pt idx="0">
                  <c:v>2.858034275057193</c:v>
                </c:pt>
                <c:pt idx="1">
                  <c:v>4.5249640829477151</c:v>
                </c:pt>
                <c:pt idx="2">
                  <c:v>9.1771948300329349</c:v>
                </c:pt>
                <c:pt idx="3">
                  <c:v>16.005639473665951</c:v>
                </c:pt>
                <c:pt idx="4">
                  <c:v>24.342064724687333</c:v>
                </c:pt>
                <c:pt idx="5">
                  <c:v>38.861454743291873</c:v>
                </c:pt>
                <c:pt idx="6">
                  <c:v>51.502106955780704</c:v>
                </c:pt>
                <c:pt idx="7">
                  <c:v>69.679362076426443</c:v>
                </c:pt>
                <c:pt idx="8">
                  <c:v>85.209788034780203</c:v>
                </c:pt>
                <c:pt idx="9">
                  <c:v>88.75566979629221</c:v>
                </c:pt>
                <c:pt idx="10">
                  <c:v>90.243835237810941</c:v>
                </c:pt>
                <c:pt idx="11">
                  <c:v>91.847784030217269</c:v>
                </c:pt>
                <c:pt idx="12">
                  <c:v>93.949875285740703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81-45B6-92F5-22F514BD01DE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sink'!$AM$27:$AM$40</c:f>
              <c:numCache>
                <c:formatCode>0.00</c:formatCode>
                <c:ptCount val="14"/>
                <c:pt idx="0">
                  <c:v>10.998877483167597</c:v>
                </c:pt>
                <c:pt idx="1">
                  <c:v>12.776265076586034</c:v>
                </c:pt>
                <c:pt idx="2">
                  <c:v>16.781157514411642</c:v>
                </c:pt>
                <c:pt idx="3">
                  <c:v>17.404932407699466</c:v>
                </c:pt>
                <c:pt idx="4">
                  <c:v>19.470737272468497</c:v>
                </c:pt>
                <c:pt idx="5">
                  <c:v>21.12380793661136</c:v>
                </c:pt>
                <c:pt idx="6">
                  <c:v>22.1187873803703</c:v>
                </c:pt>
                <c:pt idx="7">
                  <c:v>25.54272738025151</c:v>
                </c:pt>
                <c:pt idx="8">
                  <c:v>32.140141730557168</c:v>
                </c:pt>
                <c:pt idx="9">
                  <c:v>40.437560010074876</c:v>
                </c:pt>
                <c:pt idx="10">
                  <c:v>48.371754148947268</c:v>
                </c:pt>
                <c:pt idx="11">
                  <c:v>61.164999902270495</c:v>
                </c:pt>
                <c:pt idx="12">
                  <c:v>72.573901040762394</c:v>
                </c:pt>
                <c:pt idx="13">
                  <c:v>81.033169462125031</c:v>
                </c:pt>
              </c:numCache>
            </c:numRef>
          </c:xVal>
          <c:yVal>
            <c:numRef>
              <c:f>'Float sink'!$AU$27:$AU$40</c:f>
              <c:numCache>
                <c:formatCode>0.00</c:formatCode>
                <c:ptCount val="14"/>
                <c:pt idx="0" formatCode="_(* #,##0.00_);_(* \(#,##0.00\);_(* &quot;-&quot;??_);_(@_)">
                  <c:v>1.4290171375285965</c:v>
                </c:pt>
                <c:pt idx="1">
                  <c:v>3.6914991790024541</c:v>
                </c:pt>
                <c:pt idx="2">
                  <c:v>6.851079456490325</c:v>
                </c:pt>
                <c:pt idx="3">
                  <c:v>12.591417151849443</c:v>
                </c:pt>
                <c:pt idx="4">
                  <c:v>20.173852099176642</c:v>
                </c:pt>
                <c:pt idx="5">
                  <c:v>31.601759733989603</c:v>
                </c:pt>
                <c:pt idx="6">
                  <c:v>45.181780849536288</c:v>
                </c:pt>
                <c:pt idx="7">
                  <c:v>60.590734516103574</c:v>
                </c:pt>
                <c:pt idx="8">
                  <c:v>77.444575055603323</c:v>
                </c:pt>
                <c:pt idx="9">
                  <c:v>86.982728915536214</c:v>
                </c:pt>
                <c:pt idx="10">
                  <c:v>89.499752517051576</c:v>
                </c:pt>
                <c:pt idx="11">
                  <c:v>91.045809634014105</c:v>
                </c:pt>
                <c:pt idx="12">
                  <c:v>92.898829657978979</c:v>
                </c:pt>
                <c:pt idx="13">
                  <c:v>96.974937642870358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81-45B6-92F5-22F514BD01DE}"/>
            </c:ext>
          </c:extLst>
        </c:ser>
        <c:ser>
          <c:idx val="4"/>
          <c:order val="4"/>
          <c:tx>
            <c:v>+/-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sink'!$AJ$27:$AJ$40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sink'!$AV$27:$AV$40</c:f>
              <c:numCache>
                <c:formatCode>General</c:formatCode>
                <c:ptCount val="14"/>
                <c:pt idx="2" formatCode="0.00">
                  <c:v>21.48403044963014</c:v>
                </c:pt>
                <c:pt idx="3" formatCode="0.00">
                  <c:v>34.336490660344154</c:v>
                </c:pt>
                <c:pt idx="4" formatCode="0.00">
                  <c:v>42.324912125747773</c:v>
                </c:pt>
                <c:pt idx="5" formatCode="0.00">
                  <c:v>53.673722602760492</c:v>
                </c:pt>
                <c:pt idx="6" formatCode="0.00">
                  <c:v>60.86772331009287</c:v>
                </c:pt>
                <c:pt idx="8" formatCode="0.00">
                  <c:v>37.253562840511499</c:v>
                </c:pt>
                <c:pt idx="9" formatCode="0.00">
                  <c:v>5.0340472030307319</c:v>
                </c:pt>
                <c:pt idx="10" formatCode="0.00">
                  <c:v>3.0921142339250633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81-45B6-92F5-22F514BD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34952"/>
        <c:axId val="532142496"/>
      </c:scatterChart>
      <c:scatterChart>
        <c:scatterStyle val="lineMarker"/>
        <c:varyColors val="0"/>
        <c:ser>
          <c:idx val="1"/>
          <c:order val="1"/>
          <c:tx>
            <c:v>Cum Sinks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sink'!$AT$27:$AT$40</c:f>
              <c:numCache>
                <c:formatCode>0.00</c:formatCode>
                <c:ptCount val="14"/>
                <c:pt idx="0">
                  <c:v>29.180098055778863</c:v>
                </c:pt>
                <c:pt idx="1">
                  <c:v>29.715011583327094</c:v>
                </c:pt>
                <c:pt idx="2">
                  <c:v>30.010750686111184</c:v>
                </c:pt>
                <c:pt idx="3">
                  <c:v>30.688412205259699</c:v>
                </c:pt>
                <c:pt idx="4">
                  <c:v>31.768312164067279</c:v>
                </c:pt>
                <c:pt idx="5">
                  <c:v>33.123329499388383</c:v>
                </c:pt>
                <c:pt idx="6">
                  <c:v>35.97301676091999</c:v>
                </c:pt>
                <c:pt idx="7">
                  <c:v>39.584029204530609</c:v>
                </c:pt>
                <c:pt idx="8">
                  <c:v>48.001804784623943</c:v>
                </c:pt>
                <c:pt idx="9">
                  <c:v>64.657305342480811</c:v>
                </c:pt>
                <c:pt idx="10">
                  <c:v>72.294963761149845</c:v>
                </c:pt>
                <c:pt idx="11">
                  <c:v>75.944112239357864</c:v>
                </c:pt>
                <c:pt idx="12">
                  <c:v>78.851903136185683</c:v>
                </c:pt>
                <c:pt idx="13">
                  <c:v>81.033169462125031</c:v>
                </c:pt>
              </c:numCache>
            </c:numRef>
          </c:xVal>
          <c:yVal>
            <c:numRef>
              <c:f>'Float sink'!$AR$27:$AR$40</c:f>
              <c:numCache>
                <c:formatCode>_(* #,##0.00_);_(* \(#,##0.00\);_(* "-"??_);_(@_)</c:formatCode>
                <c:ptCount val="14"/>
                <c:pt idx="0">
                  <c:v>100</c:v>
                </c:pt>
                <c:pt idx="1">
                  <c:v>97.141965724942793</c:v>
                </c:pt>
                <c:pt idx="2">
                  <c:v>95.475035917052281</c:v>
                </c:pt>
                <c:pt idx="3">
                  <c:v>90.822805169967069</c:v>
                </c:pt>
                <c:pt idx="4">
                  <c:v>83.994360526334049</c:v>
                </c:pt>
                <c:pt idx="5">
                  <c:v>75.657935275312667</c:v>
                </c:pt>
                <c:pt idx="6">
                  <c:v>61.138545256708127</c:v>
                </c:pt>
                <c:pt idx="7">
                  <c:v>48.497893044219296</c:v>
                </c:pt>
                <c:pt idx="8">
                  <c:v>30.320637923573564</c:v>
                </c:pt>
                <c:pt idx="9">
                  <c:v>14.7902119652198</c:v>
                </c:pt>
                <c:pt idx="10">
                  <c:v>11.244330203707801</c:v>
                </c:pt>
                <c:pt idx="11">
                  <c:v>9.7561647621890657</c:v>
                </c:pt>
                <c:pt idx="12">
                  <c:v>8.1522159697827359</c:v>
                </c:pt>
                <c:pt idx="13">
                  <c:v>6.0501247142592964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81-45B6-92F5-22F514BD01DE}"/>
            </c:ext>
          </c:extLst>
        </c:ser>
        <c:ser>
          <c:idx val="2"/>
          <c:order val="2"/>
          <c:tx>
            <c:v>Relative Density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sink'!$AJ$27:$AJ$40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sink'!$AO$27:$AO$40</c:f>
              <c:numCache>
                <c:formatCode>_(* #,##0.00_);_(* \(#,##0.00\);_(* "-"??_);_(@_)</c:formatCode>
                <c:ptCount val="14"/>
                <c:pt idx="0">
                  <c:v>2.858034275057193</c:v>
                </c:pt>
                <c:pt idx="1">
                  <c:v>4.5249640829477151</c:v>
                </c:pt>
                <c:pt idx="2">
                  <c:v>9.1771948300329349</c:v>
                </c:pt>
                <c:pt idx="3">
                  <c:v>16.005639473665951</c:v>
                </c:pt>
                <c:pt idx="4">
                  <c:v>24.342064724687333</c:v>
                </c:pt>
                <c:pt idx="5">
                  <c:v>38.861454743291873</c:v>
                </c:pt>
                <c:pt idx="6">
                  <c:v>51.502106955780704</c:v>
                </c:pt>
                <c:pt idx="7">
                  <c:v>69.679362076426443</c:v>
                </c:pt>
                <c:pt idx="8">
                  <c:v>85.209788034780203</c:v>
                </c:pt>
                <c:pt idx="9">
                  <c:v>88.75566979629221</c:v>
                </c:pt>
                <c:pt idx="10">
                  <c:v>90.243835237810941</c:v>
                </c:pt>
                <c:pt idx="11">
                  <c:v>91.847784030217269</c:v>
                </c:pt>
                <c:pt idx="12">
                  <c:v>93.949875285740703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81-45B6-92F5-22F514BD0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08272"/>
        <c:axId val="580303024"/>
      </c:scatterChart>
      <c:valAx>
        <c:axId val="532134952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42496"/>
        <c:crosses val="autoZero"/>
        <c:crossBetween val="midCat"/>
        <c:majorUnit val="5"/>
        <c:minorUnit val="1"/>
      </c:valAx>
      <c:valAx>
        <c:axId val="5321424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34952"/>
        <c:crosses val="autoZero"/>
        <c:crossBetween val="midCat"/>
        <c:minorUnit val="5"/>
      </c:valAx>
      <c:valAx>
        <c:axId val="58030302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0308272"/>
        <c:crosses val="max"/>
        <c:crossBetween val="midCat"/>
        <c:minorUnit val="5"/>
      </c:valAx>
      <c:valAx>
        <c:axId val="5803082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3024"/>
        <c:crosses val="max"/>
        <c:crossBetween val="midCat"/>
        <c:majorUnit val="7"/>
        <c:minorUnit val="1"/>
      </c:valAx>
      <c:spPr>
        <a:solidFill>
          <a:schemeClr val="accent6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-2mm+0.25mm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sink'!$AQ$59:$AQ$72</c:f>
              <c:numCache>
                <c:formatCode>_(* #,##0.00_);_(* \(#,##0.00\);_(* "-"??_);_(@_)</c:formatCode>
                <c:ptCount val="14"/>
                <c:pt idx="0">
                  <c:v>4.8595216925460889</c:v>
                </c:pt>
                <c:pt idx="1">
                  <c:v>5.8138981433634438</c:v>
                </c:pt>
                <c:pt idx="2">
                  <c:v>6.9234750936808824</c:v>
                </c:pt>
                <c:pt idx="3">
                  <c:v>8.0743064931786961</c:v>
                </c:pt>
                <c:pt idx="4">
                  <c:v>9.0669035686716164</c:v>
                </c:pt>
                <c:pt idx="5">
                  <c:v>10.006136851668025</c:v>
                </c:pt>
                <c:pt idx="6">
                  <c:v>11.080703632496384</c:v>
                </c:pt>
                <c:pt idx="7">
                  <c:v>12.06409126009618</c:v>
                </c:pt>
                <c:pt idx="8">
                  <c:v>13.589358325363508</c:v>
                </c:pt>
                <c:pt idx="9">
                  <c:v>14.238465421036448</c:v>
                </c:pt>
                <c:pt idx="10">
                  <c:v>15.044413062552788</c:v>
                </c:pt>
                <c:pt idx="11">
                  <c:v>16.515762856345734</c:v>
                </c:pt>
                <c:pt idx="12">
                  <c:v>17.724017460791625</c:v>
                </c:pt>
                <c:pt idx="13">
                  <c:v>20.48768788086954</c:v>
                </c:pt>
              </c:numCache>
            </c:numRef>
          </c:xVal>
          <c:yVal>
            <c:numRef>
              <c:f>'Float sink'!$AO$59:$AO$72</c:f>
              <c:numCache>
                <c:formatCode>_(* #,##0.00_);_(* \(#,##0.00\);_(* "-"??_);_(@_)</c:formatCode>
                <c:ptCount val="14"/>
                <c:pt idx="0">
                  <c:v>33.345650299116961</c:v>
                </c:pt>
                <c:pt idx="1">
                  <c:v>40.022242890831507</c:v>
                </c:pt>
                <c:pt idx="2">
                  <c:v>47.53533795169642</c:v>
                </c:pt>
                <c:pt idx="3">
                  <c:v>55.097494019454707</c:v>
                </c:pt>
                <c:pt idx="4">
                  <c:v>61.822547661442464</c:v>
                </c:pt>
                <c:pt idx="5">
                  <c:v>67.756822623500867</c:v>
                </c:pt>
                <c:pt idx="6">
                  <c:v>73.98565635664913</c:v>
                </c:pt>
                <c:pt idx="7">
                  <c:v>79.74189824188727</c:v>
                </c:pt>
                <c:pt idx="8">
                  <c:v>85.824851954369365</c:v>
                </c:pt>
                <c:pt idx="9">
                  <c:v>88.091796603579951</c:v>
                </c:pt>
                <c:pt idx="10">
                  <c:v>90.170458866715748</c:v>
                </c:pt>
                <c:pt idx="11">
                  <c:v>93.210093434175576</c:v>
                </c:pt>
                <c:pt idx="12">
                  <c:v>95.408773987751317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2C-4D52-97B2-5DBC6C4E899C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sink'!$AM$59:$AM$72</c:f>
              <c:numCache>
                <c:formatCode>0.00</c:formatCode>
                <c:ptCount val="14"/>
                <c:pt idx="0">
                  <c:v>4.8595216925460889</c:v>
                </c:pt>
                <c:pt idx="1">
                  <c:v>10.58044679007299</c:v>
                </c:pt>
                <c:pt idx="2">
                  <c:v>12.834189366815655</c:v>
                </c:pt>
                <c:pt idx="3">
                  <c:v>15.308375588074938</c:v>
                </c:pt>
                <c:pt idx="4">
                  <c:v>17.199122929606641</c:v>
                </c:pt>
                <c:pt idx="5">
                  <c:v>19.790953830070652</c:v>
                </c:pt>
                <c:pt idx="6">
                  <c:v>22.769766767738094</c:v>
                </c:pt>
                <c:pt idx="7">
                  <c:v>24.703688506272155</c:v>
                </c:pt>
                <c:pt idx="8">
                  <c:v>33.584199131183169</c:v>
                </c:pt>
                <c:pt idx="9">
                  <c:v>38.813181176915279</c:v>
                </c:pt>
                <c:pt idx="10">
                  <c:v>49.199733514894334</c:v>
                </c:pt>
                <c:pt idx="11">
                  <c:v>60.163208993474512</c:v>
                </c:pt>
                <c:pt idx="12">
                  <c:v>68.946340043995576</c:v>
                </c:pt>
                <c:pt idx="13">
                  <c:v>77.918623709860412</c:v>
                </c:pt>
              </c:numCache>
            </c:numRef>
          </c:xVal>
          <c:yVal>
            <c:numRef>
              <c:f>'Float sink'!$AU$59:$AU$72</c:f>
              <c:numCache>
                <c:formatCode>0.00</c:formatCode>
                <c:ptCount val="14"/>
                <c:pt idx="0" formatCode="_(* #,##0.00_);_(* \(#,##0.00\);_(* &quot;-&quot;??_);_(@_)">
                  <c:v>16.672825149558481</c:v>
                </c:pt>
                <c:pt idx="1">
                  <c:v>36.683946594974238</c:v>
                </c:pt>
                <c:pt idx="2">
                  <c:v>43.778790421263963</c:v>
                </c:pt>
                <c:pt idx="3">
                  <c:v>51.316415985575567</c:v>
                </c:pt>
                <c:pt idx="4">
                  <c:v>58.460020840448585</c:v>
                </c:pt>
                <c:pt idx="5">
                  <c:v>64.789685142471669</c:v>
                </c:pt>
                <c:pt idx="6">
                  <c:v>70.871239490074998</c:v>
                </c:pt>
                <c:pt idx="7">
                  <c:v>76.863777299268193</c:v>
                </c:pt>
                <c:pt idx="8">
                  <c:v>82.783375098128317</c:v>
                </c:pt>
                <c:pt idx="9">
                  <c:v>86.958324278974658</c:v>
                </c:pt>
                <c:pt idx="10">
                  <c:v>89.131127735147857</c:v>
                </c:pt>
                <c:pt idx="11">
                  <c:v>91.690276150445655</c:v>
                </c:pt>
                <c:pt idx="12">
                  <c:v>94.309433710963447</c:v>
                </c:pt>
                <c:pt idx="13">
                  <c:v>97.704386993875659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2C-4D52-97B2-5DBC6C4E899C}"/>
            </c:ext>
          </c:extLst>
        </c:ser>
        <c:ser>
          <c:idx val="4"/>
          <c:order val="4"/>
          <c:tx>
            <c:v>+/-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sink'!$AJ$59:$AJ$72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sink'!$AV$59:$AV$72</c:f>
              <c:numCache>
                <c:formatCode>General</c:formatCode>
                <c:ptCount val="14"/>
                <c:pt idx="2" formatCode="0.00">
                  <c:v>28.476897362325499</c:v>
                </c:pt>
                <c:pt idx="3" formatCode="0.00">
                  <c:v>27.734579732669353</c:v>
                </c:pt>
                <c:pt idx="4" formatCode="0.00">
                  <c:v>26.450318404952711</c:v>
                </c:pt>
                <c:pt idx="5" formatCode="0.00">
                  <c:v>24.64440422243257</c:v>
                </c:pt>
                <c:pt idx="6" formatCode="0.00">
                  <c:v>24.002304292926912</c:v>
                </c:pt>
                <c:pt idx="8" formatCode="0.00">
                  <c:v>14.106140246930833</c:v>
                </c:pt>
                <c:pt idx="9" formatCode="0.00">
                  <c:v>4.3456069123463852</c:v>
                </c:pt>
                <c:pt idx="10" formatCode="0.00">
                  <c:v>5.1182968305956216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2C-4D52-97B2-5DBC6C4E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34952"/>
        <c:axId val="532142496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sink'!$AT$59:$AT$72</c:f>
              <c:numCache>
                <c:formatCode>0.00</c:formatCode>
                <c:ptCount val="14"/>
                <c:pt idx="0">
                  <c:v>20.48768788086954</c:v>
                </c:pt>
                <c:pt idx="1">
                  <c:v>28.306102836096585</c:v>
                </c:pt>
                <c:pt idx="2">
                  <c:v>30.279284054339751</c:v>
                </c:pt>
                <c:pt idx="3">
                  <c:v>32.777473304324559</c:v>
                </c:pt>
                <c:pt idx="4">
                  <c:v>35.719492695189636</c:v>
                </c:pt>
                <c:pt idx="5">
                  <c:v>38.981902115244182</c:v>
                </c:pt>
                <c:pt idx="6">
                  <c:v>42.513947439966699</c:v>
                </c:pt>
                <c:pt idx="7">
                  <c:v>47.241463163239061</c:v>
                </c:pt>
                <c:pt idx="8">
                  <c:v>53.645463105066675</c:v>
                </c:pt>
                <c:pt idx="9">
                  <c:v>62.254314298309282</c:v>
                </c:pt>
                <c:pt idx="10">
                  <c:v>66.716763379163297</c:v>
                </c:pt>
                <c:pt idx="11">
                  <c:v>70.421106079127412</c:v>
                </c:pt>
                <c:pt idx="12">
                  <c:v>75.013254478920629</c:v>
                </c:pt>
                <c:pt idx="13">
                  <c:v>77.918623709860412</c:v>
                </c:pt>
              </c:numCache>
            </c:numRef>
          </c:xVal>
          <c:yVal>
            <c:numRef>
              <c:f>'Float sink'!$AR$59:$AR$72</c:f>
              <c:numCache>
                <c:formatCode>_(* #,##0.00_);_(* \(#,##0.00\);_(* "-"??_);_(@_)</c:formatCode>
                <c:ptCount val="14"/>
                <c:pt idx="0">
                  <c:v>100</c:v>
                </c:pt>
                <c:pt idx="1">
                  <c:v>66.654349700883046</c:v>
                </c:pt>
                <c:pt idx="2">
                  <c:v>59.977757109168493</c:v>
                </c:pt>
                <c:pt idx="3">
                  <c:v>52.46466204830358</c:v>
                </c:pt>
                <c:pt idx="4">
                  <c:v>44.9025059805453</c:v>
                </c:pt>
                <c:pt idx="5">
                  <c:v>38.177452338557543</c:v>
                </c:pt>
                <c:pt idx="6">
                  <c:v>32.243177376499148</c:v>
                </c:pt>
                <c:pt idx="7">
                  <c:v>26.014343643350877</c:v>
                </c:pt>
                <c:pt idx="8">
                  <c:v>20.258101758112733</c:v>
                </c:pt>
                <c:pt idx="9">
                  <c:v>14.175148045630637</c:v>
                </c:pt>
                <c:pt idx="10">
                  <c:v>11.908203396420044</c:v>
                </c:pt>
                <c:pt idx="11">
                  <c:v>9.8295411332842519</c:v>
                </c:pt>
                <c:pt idx="12">
                  <c:v>6.7899065658244222</c:v>
                </c:pt>
                <c:pt idx="13">
                  <c:v>4.5912260122486792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2C-4D52-97B2-5DBC6C4E899C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'Float sink'!$AJ$59:$AJ$72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sink'!$AO$59:$AO$72</c:f>
              <c:numCache>
                <c:formatCode>_(* #,##0.00_);_(* \(#,##0.00\);_(* "-"??_);_(@_)</c:formatCode>
                <c:ptCount val="14"/>
                <c:pt idx="0">
                  <c:v>33.345650299116961</c:v>
                </c:pt>
                <c:pt idx="1">
                  <c:v>40.022242890831507</c:v>
                </c:pt>
                <c:pt idx="2">
                  <c:v>47.53533795169642</c:v>
                </c:pt>
                <c:pt idx="3">
                  <c:v>55.097494019454707</c:v>
                </c:pt>
                <c:pt idx="4">
                  <c:v>61.822547661442464</c:v>
                </c:pt>
                <c:pt idx="5">
                  <c:v>67.756822623500867</c:v>
                </c:pt>
                <c:pt idx="6">
                  <c:v>73.98565635664913</c:v>
                </c:pt>
                <c:pt idx="7">
                  <c:v>79.74189824188727</c:v>
                </c:pt>
                <c:pt idx="8">
                  <c:v>85.824851954369365</c:v>
                </c:pt>
                <c:pt idx="9">
                  <c:v>88.091796603579951</c:v>
                </c:pt>
                <c:pt idx="10">
                  <c:v>90.170458866715748</c:v>
                </c:pt>
                <c:pt idx="11">
                  <c:v>93.210093434175576</c:v>
                </c:pt>
                <c:pt idx="12">
                  <c:v>95.408773987751317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2C-4D52-97B2-5DBC6C4E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08272"/>
        <c:axId val="580303024"/>
      </c:scatterChart>
      <c:valAx>
        <c:axId val="532134952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42496"/>
        <c:crosses val="autoZero"/>
        <c:crossBetween val="midCat"/>
        <c:majorUnit val="5"/>
        <c:minorUnit val="1"/>
      </c:valAx>
      <c:valAx>
        <c:axId val="5321424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34952"/>
        <c:crosses val="autoZero"/>
        <c:crossBetween val="midCat"/>
        <c:minorUnit val="5"/>
      </c:valAx>
      <c:valAx>
        <c:axId val="58030302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0308272"/>
        <c:crosses val="max"/>
        <c:crossBetween val="midCat"/>
        <c:minorUnit val="5"/>
      </c:valAx>
      <c:valAx>
        <c:axId val="5803082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3024"/>
        <c:crosses val="max"/>
        <c:crossBetween val="midCat"/>
        <c:majorUnit val="7"/>
        <c:minorUnit val="1"/>
      </c:valAx>
      <c:spPr>
        <a:solidFill>
          <a:schemeClr val="accent2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-8mm+2.0mm Composite</a:t>
            </a:r>
          </a:p>
        </c:rich>
      </c:tx>
      <c:layout>
        <c:manualLayout>
          <c:xMode val="edge"/>
          <c:yMode val="edge"/>
          <c:x val="0.41129053783531305"/>
          <c:y val="0.9422158994831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354438411523273E-2"/>
          <c:y val="0.20743323605528333"/>
          <c:w val="0.83507506227326678"/>
          <c:h val="0.7118835691867188"/>
        </c:manualLayout>
      </c:layout>
      <c:scatterChart>
        <c:scatterStyle val="lineMarker"/>
        <c:varyColors val="0"/>
        <c:ser>
          <c:idx val="0"/>
          <c:order val="0"/>
          <c:tx>
            <c:v>Cum Floats, %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sink'!$AQ$43:$AQ$56</c:f>
              <c:numCache>
                <c:formatCode>_(* #,##0.00_);_(* \(#,##0.00\);_(* "-"??_);_(@_)</c:formatCode>
                <c:ptCount val="14"/>
                <c:pt idx="0">
                  <c:v>5.988928032209361</c:v>
                </c:pt>
                <c:pt idx="1">
                  <c:v>6.5456164557579237</c:v>
                </c:pt>
                <c:pt idx="2">
                  <c:v>8.3259470497732124</c:v>
                </c:pt>
                <c:pt idx="3">
                  <c:v>9.8753016718178621</c:v>
                </c:pt>
                <c:pt idx="4">
                  <c:v>11.422497673445262</c:v>
                </c:pt>
                <c:pt idx="5">
                  <c:v>13.139676001810155</c:v>
                </c:pt>
                <c:pt idx="6">
                  <c:v>14.532709490629868</c:v>
                </c:pt>
                <c:pt idx="7">
                  <c:v>16.14973274726961</c:v>
                </c:pt>
                <c:pt idx="8">
                  <c:v>17.684073179852565</c:v>
                </c:pt>
                <c:pt idx="9">
                  <c:v>18.07297472188781</c:v>
                </c:pt>
                <c:pt idx="10">
                  <c:v>19.090487257013276</c:v>
                </c:pt>
                <c:pt idx="11">
                  <c:v>20.37089257348093</c:v>
                </c:pt>
                <c:pt idx="12">
                  <c:v>22.070163953580654</c:v>
                </c:pt>
                <c:pt idx="13">
                  <c:v>25.249240368674965</c:v>
                </c:pt>
              </c:numCache>
            </c:numRef>
          </c:xVal>
          <c:yVal>
            <c:numRef>
              <c:f>'Float sink'!$AO$43:$AO$56</c:f>
              <c:numCache>
                <c:formatCode>_(* #,##0.00_);_(* \(#,##0.00\);_(* "-"??_);_(@_)</c:formatCode>
                <c:ptCount val="14"/>
                <c:pt idx="0">
                  <c:v>14.19909044972208</c:v>
                </c:pt>
                <c:pt idx="1">
                  <c:v>18.752905507832235</c:v>
                </c:pt>
                <c:pt idx="2">
                  <c:v>26.989388580090953</c:v>
                </c:pt>
                <c:pt idx="3">
                  <c:v>36.412329459322891</c:v>
                </c:pt>
                <c:pt idx="4">
                  <c:v>47.393633148054569</c:v>
                </c:pt>
                <c:pt idx="5">
                  <c:v>58.752905507832232</c:v>
                </c:pt>
                <c:pt idx="6">
                  <c:v>68.85497726124305</c:v>
                </c:pt>
                <c:pt idx="7">
                  <c:v>78.672056594239507</c:v>
                </c:pt>
                <c:pt idx="8">
                  <c:v>85.596766043456284</c:v>
                </c:pt>
                <c:pt idx="9">
                  <c:v>86.959070237493677</c:v>
                </c:pt>
                <c:pt idx="10">
                  <c:v>89.188479029813024</c:v>
                </c:pt>
                <c:pt idx="11">
                  <c:v>91.856493178372901</c:v>
                </c:pt>
                <c:pt idx="12">
                  <c:v>94.819605861546222</c:v>
                </c:pt>
                <c:pt idx="13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21-48F1-9AA2-46825974F00D}"/>
            </c:ext>
          </c:extLst>
        </c:ser>
        <c:ser>
          <c:idx val="3"/>
          <c:order val="3"/>
          <c:tx>
            <c:v>Ash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'Float sink'!$AM$43:$AM$56</c:f>
              <c:numCache>
                <c:formatCode>0.00</c:formatCode>
                <c:ptCount val="14"/>
                <c:pt idx="0">
                  <c:v>5.988928032209361</c:v>
                </c:pt>
                <c:pt idx="1">
                  <c:v>8.2814070351758797</c:v>
                </c:pt>
                <c:pt idx="2">
                  <c:v>12.379421221864952</c:v>
                </c:pt>
                <c:pt idx="3">
                  <c:v>14.31299628103327</c:v>
                </c:pt>
                <c:pt idx="4">
                  <c:v>16.552763819095478</c:v>
                </c:pt>
                <c:pt idx="5">
                  <c:v>20.304159532682043</c:v>
                </c:pt>
                <c:pt idx="6">
                  <c:v>22.63448969331322</c:v>
                </c:pt>
                <c:pt idx="7">
                  <c:v>27.491201608848666</c:v>
                </c:pt>
                <c:pt idx="8">
                  <c:v>35.115810674723058</c:v>
                </c:pt>
                <c:pt idx="9">
                  <c:v>42.508570276265374</c:v>
                </c:pt>
                <c:pt idx="10">
                  <c:v>58.779011099899094</c:v>
                </c:pt>
                <c:pt idx="11">
                  <c:v>63.173290296550334</c:v>
                </c:pt>
                <c:pt idx="12">
                  <c:v>74.747576736672045</c:v>
                </c:pt>
                <c:pt idx="13">
                  <c:v>83.437626160678235</c:v>
                </c:pt>
              </c:numCache>
            </c:numRef>
          </c:xVal>
          <c:yVal>
            <c:numRef>
              <c:f>'Float sink'!$AU$43:$AU$56</c:f>
              <c:numCache>
                <c:formatCode>0.00</c:formatCode>
                <c:ptCount val="14"/>
                <c:pt idx="0" formatCode="_(* #,##0.00_);_(* \(#,##0.00\);_(* &quot;-&quot;??_);_(@_)">
                  <c:v>7.09954522486104</c:v>
                </c:pt>
                <c:pt idx="1">
                  <c:v>16.475997978777158</c:v>
                </c:pt>
                <c:pt idx="2">
                  <c:v>22.871147043961596</c:v>
                </c:pt>
                <c:pt idx="3">
                  <c:v>31.700859019706925</c:v>
                </c:pt>
                <c:pt idx="4">
                  <c:v>41.902981303688733</c:v>
                </c:pt>
                <c:pt idx="5">
                  <c:v>53.0732693279434</c:v>
                </c:pt>
                <c:pt idx="6">
                  <c:v>63.803941384537644</c:v>
                </c:pt>
                <c:pt idx="7">
                  <c:v>73.763516927741279</c:v>
                </c:pt>
                <c:pt idx="8">
                  <c:v>82.134411318847896</c:v>
                </c:pt>
                <c:pt idx="9">
                  <c:v>86.277918140474981</c:v>
                </c:pt>
                <c:pt idx="10">
                  <c:v>88.073774633653343</c:v>
                </c:pt>
                <c:pt idx="11">
                  <c:v>90.522486104092962</c:v>
                </c:pt>
                <c:pt idx="12">
                  <c:v>93.338049519959569</c:v>
                </c:pt>
                <c:pt idx="13">
                  <c:v>97.409802930773111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21-48F1-9AA2-46825974F00D}"/>
            </c:ext>
          </c:extLst>
        </c:ser>
        <c:ser>
          <c:idx val="4"/>
          <c:order val="4"/>
          <c:tx>
            <c:v>+/- 0.1 RD Curve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'Float sink'!$AJ$43:$AJ$56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sink'!$AV$43:$AV$56</c:f>
              <c:numCache>
                <c:formatCode>General</c:formatCode>
                <c:ptCount val="14"/>
                <c:pt idx="2" formatCode="0.00">
                  <c:v>33.194542698332484</c:v>
                </c:pt>
                <c:pt idx="3" formatCode="0.00">
                  <c:v>39.999999999999993</c:v>
                </c:pt>
                <c:pt idx="4" formatCode="0.00">
                  <c:v>41.86558868115209</c:v>
                </c:pt>
                <c:pt idx="5" formatCode="0.00">
                  <c:v>42.259727134916616</c:v>
                </c:pt>
                <c:pt idx="6" formatCode="0.00">
                  <c:v>38.203132895401708</c:v>
                </c:pt>
                <c:pt idx="8" formatCode="0.00">
                  <c:v>18.104092976250627</c:v>
                </c:pt>
                <c:pt idx="9" formatCode="0.00">
                  <c:v>3.591712986356745</c:v>
                </c:pt>
                <c:pt idx="10" formatCode="0.00">
                  <c:v>4.8974229408792311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21-48F1-9AA2-46825974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134952"/>
        <c:axId val="532142496"/>
      </c:scatterChart>
      <c:scatterChart>
        <c:scatterStyle val="lineMarker"/>
        <c:varyColors val="0"/>
        <c:ser>
          <c:idx val="1"/>
          <c:order val="1"/>
          <c:tx>
            <c:v>Cum Sinks, %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'Float sink'!$AT$43:$AT$56</c:f>
              <c:numCache>
                <c:formatCode>0.00</c:formatCode>
                <c:ptCount val="14"/>
                <c:pt idx="0">
                  <c:v>25.249240368674965</c:v>
                </c:pt>
                <c:pt idx="1">
                  <c:v>28.436606544497607</c:v>
                </c:pt>
                <c:pt idx="2">
                  <c:v>29.566284492963948</c:v>
                </c:pt>
                <c:pt idx="3">
                  <c:v>31.505171260854109</c:v>
                </c:pt>
                <c:pt idx="4">
                  <c:v>34.052848303318342</c:v>
                </c:pt>
                <c:pt idx="5">
                  <c:v>37.705899327361948</c:v>
                </c:pt>
                <c:pt idx="6">
                  <c:v>42.498263596784248</c:v>
                </c:pt>
                <c:pt idx="7">
                  <c:v>48.941195777298766</c:v>
                </c:pt>
                <c:pt idx="8">
                  <c:v>58.814454086260298</c:v>
                </c:pt>
                <c:pt idx="9">
                  <c:v>70.208160559446739</c:v>
                </c:pt>
                <c:pt idx="10">
                  <c:v>73.101763140175862</c:v>
                </c:pt>
                <c:pt idx="11">
                  <c:v>76.055211541825756</c:v>
                </c:pt>
                <c:pt idx="12">
                  <c:v>80.27564739284675</c:v>
                </c:pt>
                <c:pt idx="13">
                  <c:v>83.437626160678235</c:v>
                </c:pt>
              </c:numCache>
            </c:numRef>
          </c:xVal>
          <c:yVal>
            <c:numRef>
              <c:f>'Float sink'!$AR$43:$AR$56</c:f>
              <c:numCache>
                <c:formatCode>_(* #,##0.00_);_(* \(#,##0.00\);_(* "-"??_);_(@_)</c:formatCode>
                <c:ptCount val="14"/>
                <c:pt idx="0">
                  <c:v>99.999999999999986</c:v>
                </c:pt>
                <c:pt idx="1">
                  <c:v>85.800909550277893</c:v>
                </c:pt>
                <c:pt idx="2">
                  <c:v>81.247094492167747</c:v>
                </c:pt>
                <c:pt idx="3">
                  <c:v>73.01061141990904</c:v>
                </c:pt>
                <c:pt idx="4">
                  <c:v>63.587670540677102</c:v>
                </c:pt>
                <c:pt idx="5">
                  <c:v>52.606366851945417</c:v>
                </c:pt>
                <c:pt idx="6">
                  <c:v>41.247094492167754</c:v>
                </c:pt>
                <c:pt idx="7">
                  <c:v>31.145022738756943</c:v>
                </c:pt>
                <c:pt idx="8">
                  <c:v>21.327943405760482</c:v>
                </c:pt>
                <c:pt idx="9">
                  <c:v>14.403233956543707</c:v>
                </c:pt>
                <c:pt idx="10">
                  <c:v>13.040929762506314</c:v>
                </c:pt>
                <c:pt idx="11">
                  <c:v>10.811520970186962</c:v>
                </c:pt>
                <c:pt idx="12">
                  <c:v>8.1435068216270832</c:v>
                </c:pt>
                <c:pt idx="13">
                  <c:v>5.1803941384537637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21-48F1-9AA2-46825974F00D}"/>
            </c:ext>
          </c:extLst>
        </c:ser>
        <c:ser>
          <c:idx val="2"/>
          <c:order val="2"/>
          <c:tx>
            <c:v>Relative density 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'Float sink'!$AJ$43:$AJ$56</c:f>
              <c:numCache>
                <c:formatCode>0.00</c:formatCode>
                <c:ptCount val="14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  <c:pt idx="10">
                  <c:v>77</c:v>
                </c:pt>
                <c:pt idx="11">
                  <c:v>84</c:v>
                </c:pt>
                <c:pt idx="12">
                  <c:v>91</c:v>
                </c:pt>
                <c:pt idx="13">
                  <c:v>98</c:v>
                </c:pt>
              </c:numCache>
            </c:numRef>
          </c:xVal>
          <c:yVal>
            <c:numRef>
              <c:f>'Float sink'!$AO$43:$AO$56</c:f>
              <c:numCache>
                <c:formatCode>_(* #,##0.00_);_(* \(#,##0.00\);_(* "-"??_);_(@_)</c:formatCode>
                <c:ptCount val="14"/>
                <c:pt idx="0">
                  <c:v>14.19909044972208</c:v>
                </c:pt>
                <c:pt idx="1">
                  <c:v>18.752905507832235</c:v>
                </c:pt>
                <c:pt idx="2">
                  <c:v>26.989388580090953</c:v>
                </c:pt>
                <c:pt idx="3">
                  <c:v>36.412329459322891</c:v>
                </c:pt>
                <c:pt idx="4">
                  <c:v>47.393633148054569</c:v>
                </c:pt>
                <c:pt idx="5">
                  <c:v>58.752905507832232</c:v>
                </c:pt>
                <c:pt idx="6">
                  <c:v>68.85497726124305</c:v>
                </c:pt>
                <c:pt idx="7">
                  <c:v>78.672056594239507</c:v>
                </c:pt>
                <c:pt idx="8">
                  <c:v>85.596766043456284</c:v>
                </c:pt>
                <c:pt idx="9">
                  <c:v>86.959070237493677</c:v>
                </c:pt>
                <c:pt idx="10">
                  <c:v>89.188479029813024</c:v>
                </c:pt>
                <c:pt idx="11">
                  <c:v>91.856493178372901</c:v>
                </c:pt>
                <c:pt idx="12">
                  <c:v>94.819605861546222</c:v>
                </c:pt>
                <c:pt idx="13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21-48F1-9AA2-46825974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08272"/>
        <c:axId val="580303024"/>
      </c:scatterChart>
      <c:valAx>
        <c:axId val="532134952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42496"/>
        <c:crosses val="autoZero"/>
        <c:crossBetween val="midCat"/>
        <c:majorUnit val="5"/>
        <c:minorUnit val="1"/>
      </c:valAx>
      <c:valAx>
        <c:axId val="5321424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rgbClr val="99CC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Cum Float,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2134952"/>
        <c:crosses val="autoZero"/>
        <c:crossBetween val="midCat"/>
        <c:minorUnit val="5"/>
      </c:valAx>
      <c:valAx>
        <c:axId val="580303024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Cum Sink,</a:t>
                </a:r>
                <a:r>
                  <a:rPr lang="en-US" sz="1200" b="1" baseline="0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%</a:t>
                </a:r>
                <a:endParaRPr lang="en-US" sz="1200" b="1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4945934010540578"/>
              <c:y val="0.3884546470526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0308272"/>
        <c:crosses val="max"/>
        <c:crossBetween val="midCat"/>
        <c:minorUnit val="5"/>
      </c:valAx>
      <c:valAx>
        <c:axId val="580308272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Ash, dry %</a:t>
                </a:r>
              </a:p>
            </c:rich>
          </c:tx>
          <c:layout>
            <c:manualLayout>
              <c:xMode val="edge"/>
              <c:yMode val="edge"/>
              <c:x val="0.44825768594212345"/>
              <c:y val="0.23224918782005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200" b="1" i="0" u="none" strike="noStrike" kern="1200" baseline="0">
                  <a:solidFill>
                    <a:srgbClr val="00206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;\-#,##0" sourceLinked="0"/>
        <c:majorTickMark val="in"/>
        <c:minorTickMark val="out"/>
        <c:tickLblPos val="nextTo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03024"/>
        <c:crosses val="max"/>
        <c:crossBetween val="midCat"/>
        <c:majorUnit val="7"/>
        <c:minorUnit val="1"/>
      </c:valAx>
      <c:spPr>
        <a:solidFill>
          <a:schemeClr val="accent3">
            <a:lumMod val="20000"/>
            <a:lumOff val="80000"/>
          </a:schemeClr>
        </a:solidFill>
        <a:ln w="28575">
          <a:solidFill>
            <a:srgbClr val="002060"/>
          </a:solidFill>
        </a:ln>
        <a:effectLst/>
      </c:spPr>
    </c:plotArea>
    <c:legend>
      <c:legendPos val="r"/>
      <c:layout>
        <c:manualLayout>
          <c:xMode val="edge"/>
          <c:yMode val="edge"/>
          <c:x val="0.67436040031995836"/>
          <c:y val="0.49965264050731523"/>
          <c:w val="0.16271753849240184"/>
          <c:h val="0.2340687462144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127000</xdr:colOff>
      <xdr:row>9</xdr:row>
      <xdr:rowOff>136525</xdr:rowOff>
    </xdr:from>
    <xdr:to>
      <xdr:col>34</xdr:col>
      <xdr:colOff>565150</xdr:colOff>
      <xdr:row>24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E8B94-6B50-46AA-BBCD-874BE1CDB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127000</xdr:colOff>
      <xdr:row>0</xdr:row>
      <xdr:rowOff>76200</xdr:rowOff>
    </xdr:from>
    <xdr:to>
      <xdr:col>70</xdr:col>
      <xdr:colOff>508000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A6037-3628-4104-92C7-65CA2EF84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38100</xdr:colOff>
      <xdr:row>25</xdr:row>
      <xdr:rowOff>95250</xdr:rowOff>
    </xdr:from>
    <xdr:to>
      <xdr:col>34</xdr:col>
      <xdr:colOff>476250</xdr:colOff>
      <xdr:row>40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B436C-D501-4814-89C5-3684167D7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88900</xdr:colOff>
      <xdr:row>42</xdr:row>
      <xdr:rowOff>0</xdr:rowOff>
    </xdr:from>
    <xdr:to>
      <xdr:col>34</xdr:col>
      <xdr:colOff>508000</xdr:colOff>
      <xdr:row>56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264D7D-99FF-454E-B9AA-FE8A08088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152400</xdr:colOff>
      <xdr:row>58</xdr:row>
      <xdr:rowOff>25400</xdr:rowOff>
    </xdr:from>
    <xdr:to>
      <xdr:col>35</xdr:col>
      <xdr:colOff>0</xdr:colOff>
      <xdr:row>72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CE8FB5-11BE-453B-8E3B-7A931C5E6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139700</xdr:colOff>
      <xdr:row>73</xdr:row>
      <xdr:rowOff>152400</xdr:rowOff>
    </xdr:from>
    <xdr:to>
      <xdr:col>34</xdr:col>
      <xdr:colOff>546100</xdr:colOff>
      <xdr:row>87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3DFC6F-D1AB-4880-B4FB-04997CF6F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</xdr:col>
      <xdr:colOff>139700</xdr:colOff>
      <xdr:row>36</xdr:row>
      <xdr:rowOff>38100</xdr:rowOff>
    </xdr:from>
    <xdr:to>
      <xdr:col>70</xdr:col>
      <xdr:colOff>520700</xdr:colOff>
      <xdr:row>73</xdr:row>
      <xdr:rowOff>203200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020AFE-31EC-4639-A342-6B27605EC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469900</xdr:colOff>
      <xdr:row>114</xdr:row>
      <xdr:rowOff>76200</xdr:rowOff>
    </xdr:from>
    <xdr:to>
      <xdr:col>70</xdr:col>
      <xdr:colOff>241300</xdr:colOff>
      <xdr:row>155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279848-891A-4301-B997-9C9BF4C82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119380</xdr:colOff>
      <xdr:row>73</xdr:row>
      <xdr:rowOff>215900</xdr:rowOff>
    </xdr:from>
    <xdr:to>
      <xdr:col>70</xdr:col>
      <xdr:colOff>500380</xdr:colOff>
      <xdr:row>113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04682B7-0FE7-4503-9680-C1C039C49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0.04652</cdr:y>
    </cdr:from>
    <cdr:to>
      <cdr:x>0.92675</cdr:x>
      <cdr:y>0.16813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21" y="347599"/>
          <a:ext cx="10191860" cy="90875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0.05993</cdr:x>
      <cdr:y>0.07767</cdr:y>
    </cdr:from>
    <cdr:to>
      <cdr:x>0.93065</cdr:x>
      <cdr:y>0.11651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241008F-3A73-4CF2-AE09-65430166A144}"/>
            </a:ext>
          </a:extLst>
        </cdr:cNvPr>
        <cdr:cNvSpPr txBox="1"/>
      </cdr:nvSpPr>
      <cdr:spPr>
        <a:xfrm xmlns:a="http://schemas.openxmlformats.org/drawingml/2006/main">
          <a:off x="666751" y="533402"/>
          <a:ext cx="96869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0.07483</cdr:x>
      <cdr:y>0.03224</cdr:y>
    </cdr:from>
    <cdr:to>
      <cdr:x>0.92675</cdr:x>
      <cdr:y>0.15385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8438092-5E8E-4EBE-A181-FD5BBC97E720}"/>
            </a:ext>
          </a:extLst>
        </cdr:cNvPr>
        <cdr:cNvSpPr txBox="1"/>
      </cdr:nvSpPr>
      <cdr:spPr>
        <a:xfrm xmlns:a="http://schemas.openxmlformats.org/drawingml/2006/main">
          <a:off x="895240" y="234186"/>
          <a:ext cx="10191860" cy="8834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002060"/>
              </a:solidFill>
            </a:rPr>
            <a:t>            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002060"/>
              </a:solidFill>
            </a:rPr>
            <a:t>   </a:t>
          </a:r>
          <a:r>
            <a:rPr lang="en-US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Relalative Density</a:t>
          </a:r>
          <a:endParaRPr lang="en-US" sz="1400">
            <a:solidFill>
              <a:srgbClr val="002060"/>
            </a:solidFill>
            <a:effectLst/>
          </a:endParaRP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</a:t>
          </a:r>
        </a:p>
        <a:p xmlns:a="http://schemas.openxmlformats.org/drawingml/2006/main">
          <a:r>
            <a:rPr lang="en-US" sz="1100" b="1">
              <a:solidFill>
                <a:srgbClr val="002060"/>
              </a:solidFill>
            </a:rPr>
            <a:t>                 1.3              1.325           1.350          1.375              1.40           1.425          1.450           1.50             1.60              1.70             1.80                2.0               2.20            2.80      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%20PREDATOR\OneDrive\Documents\First%20app\Process%20plant\S41_A\Washability%20test%20Result%20interpretation_4AU.xlsx" TargetMode="External"/><Relationship Id="rId1" Type="http://schemas.openxmlformats.org/officeDocument/2006/relationships/externalLinkPath" Target="file:///C:\Users\ACER%20PREDATOR\OneDrive\Documents\First%20app\Process%20plant\S41_A\Washability%20test%20Result%20interpretation_4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"/>
      <sheetName val="Inst.Eng"/>
      <sheetName val="Raw Coal analysis"/>
      <sheetName val="Pretreatment"/>
      <sheetName val="Float sink"/>
      <sheetName val="Froth Flotation"/>
      <sheetName val="Composite Product Analysis "/>
      <sheetName val="Summary "/>
    </sheetNames>
    <sheetDataSet>
      <sheetData sheetId="0"/>
      <sheetData sheetId="1"/>
      <sheetData sheetId="2">
        <row r="1">
          <cell r="C1" t="str">
            <v>PR8_B35_4AU_01-08</v>
          </cell>
        </row>
        <row r="2">
          <cell r="C2" t="str">
            <v xml:space="preserve">In-Pit Sample </v>
          </cell>
        </row>
        <row r="5">
          <cell r="C5">
            <v>43668</v>
          </cell>
        </row>
      </sheetData>
      <sheetData sheetId="3">
        <row r="40">
          <cell r="R40">
            <v>3.4907597535934283</v>
          </cell>
        </row>
        <row r="41">
          <cell r="R41">
            <v>8.2135523613963013</v>
          </cell>
        </row>
        <row r="42">
          <cell r="R42">
            <v>13.141683778234084</v>
          </cell>
        </row>
        <row r="43">
          <cell r="R43">
            <v>12.936344969199176</v>
          </cell>
        </row>
        <row r="44">
          <cell r="R44">
            <v>20.123203285420942</v>
          </cell>
        </row>
        <row r="45">
          <cell r="R45">
            <v>13.757700205338807</v>
          </cell>
        </row>
        <row r="46">
          <cell r="R46">
            <v>9.6509240246406556</v>
          </cell>
        </row>
        <row r="47">
          <cell r="R47">
            <v>6.1601642710472273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DD5B-20A1-4419-B413-5234CD4F44AA}">
  <dimension ref="B1:AV92"/>
  <sheetViews>
    <sheetView showGridLines="0" tabSelected="1" topLeftCell="AE1" zoomScale="85" zoomScaleNormal="85" zoomScaleSheetLayoutView="100" workbookViewId="0">
      <selection activeCell="AX29" sqref="AX29"/>
    </sheetView>
  </sheetViews>
  <sheetFormatPr defaultRowHeight="14.5" x14ac:dyDescent="0.35"/>
  <cols>
    <col min="1" max="1" width="6" customWidth="1"/>
    <col min="2" max="2" width="5.1796875" customWidth="1"/>
    <col min="3" max="3" width="11.36328125" customWidth="1"/>
    <col min="4" max="4" width="13.7265625" customWidth="1"/>
    <col min="7" max="7" width="12.7265625" customWidth="1"/>
    <col min="9" max="9" width="12.26953125" customWidth="1"/>
    <col min="11" max="11" width="9.26953125" bestFit="1" customWidth="1"/>
    <col min="12" max="13" width="8" customWidth="1"/>
    <col min="14" max="15" width="7.1796875" customWidth="1"/>
    <col min="20" max="20" width="9.54296875" customWidth="1"/>
    <col min="21" max="22" width="10.7265625" bestFit="1" customWidth="1"/>
    <col min="24" max="24" width="10.54296875" customWidth="1"/>
    <col min="25" max="25" width="10.7265625" bestFit="1" customWidth="1"/>
    <col min="27" max="27" width="14.26953125" bestFit="1" customWidth="1"/>
    <col min="28" max="28" width="23.26953125" bestFit="1" customWidth="1"/>
    <col min="41" max="42" width="11.54296875" bestFit="1" customWidth="1"/>
    <col min="44" max="44" width="11.54296875" bestFit="1" customWidth="1"/>
    <col min="45" max="45" width="10.7265625" bestFit="1" customWidth="1"/>
    <col min="47" max="47" width="10.453125" bestFit="1" customWidth="1"/>
    <col min="48" max="48" width="23.26953125" bestFit="1" customWidth="1"/>
  </cols>
  <sheetData>
    <row r="1" spans="2:48" x14ac:dyDescent="0.35">
      <c r="B1" s="90" t="s">
        <v>62</v>
      </c>
      <c r="C1" s="90"/>
      <c r="D1" t="str">
        <f>'[1]Raw Coal analysis'!C1</f>
        <v>PR8_B35_4AU_01-08</v>
      </c>
    </row>
    <row r="2" spans="2:48" x14ac:dyDescent="0.35">
      <c r="B2" s="90" t="s">
        <v>61</v>
      </c>
      <c r="C2" s="90"/>
      <c r="D2" t="str">
        <f>'[1]Raw Coal analysis'!C2</f>
        <v xml:space="preserve">In-Pit Sample </v>
      </c>
    </row>
    <row r="3" spans="2:48" x14ac:dyDescent="0.35">
      <c r="B3" s="90" t="s">
        <v>60</v>
      </c>
      <c r="C3" s="90"/>
    </row>
    <row r="4" spans="2:48" x14ac:dyDescent="0.35">
      <c r="B4" s="90" t="s">
        <v>59</v>
      </c>
      <c r="C4" s="90"/>
    </row>
    <row r="5" spans="2:48" x14ac:dyDescent="0.35">
      <c r="B5" s="90" t="s">
        <v>58</v>
      </c>
      <c r="C5" s="90"/>
      <c r="D5" s="91">
        <f>'[1]Raw Coal analysis'!C5</f>
        <v>43668</v>
      </c>
      <c r="Q5" s="42">
        <v>1</v>
      </c>
      <c r="R5" s="79">
        <v>2</v>
      </c>
      <c r="S5" s="79">
        <v>3</v>
      </c>
      <c r="T5" s="79">
        <v>4</v>
      </c>
      <c r="U5" s="79">
        <v>5</v>
      </c>
      <c r="V5" s="79">
        <v>6</v>
      </c>
      <c r="W5" s="79">
        <v>7</v>
      </c>
      <c r="X5" s="79">
        <v>8</v>
      </c>
      <c r="Y5" s="79">
        <v>9</v>
      </c>
      <c r="Z5" s="79">
        <v>10</v>
      </c>
      <c r="AA5" s="79">
        <v>11</v>
      </c>
      <c r="AB5" s="79">
        <v>12</v>
      </c>
      <c r="AK5" s="42">
        <v>1</v>
      </c>
      <c r="AL5" s="79">
        <v>2</v>
      </c>
      <c r="AM5" s="79">
        <v>3</v>
      </c>
      <c r="AN5" s="79">
        <v>4</v>
      </c>
      <c r="AO5" s="79">
        <v>5</v>
      </c>
      <c r="AP5" s="79">
        <v>6</v>
      </c>
      <c r="AQ5" s="79">
        <v>7</v>
      </c>
      <c r="AR5" s="79">
        <v>8</v>
      </c>
      <c r="AS5" s="79">
        <v>9</v>
      </c>
      <c r="AT5" s="79">
        <v>10</v>
      </c>
      <c r="AU5" s="79">
        <v>11</v>
      </c>
      <c r="AV5" s="79">
        <v>12</v>
      </c>
    </row>
    <row r="6" spans="2:48" x14ac:dyDescent="0.35">
      <c r="B6" s="90"/>
      <c r="C6" s="90"/>
    </row>
    <row r="7" spans="2:48" x14ac:dyDescent="0.35">
      <c r="B7" s="89"/>
      <c r="C7" s="88"/>
      <c r="D7" s="87"/>
      <c r="E7" s="86"/>
      <c r="F7" s="85"/>
      <c r="G7" s="95" t="s">
        <v>57</v>
      </c>
      <c r="H7" s="95"/>
      <c r="I7" s="95"/>
      <c r="J7" s="95"/>
      <c r="K7" s="95"/>
      <c r="L7" s="95"/>
      <c r="M7" s="96"/>
      <c r="N7" s="84"/>
      <c r="O7" s="84"/>
      <c r="Q7" s="83"/>
      <c r="R7" s="106" t="s">
        <v>56</v>
      </c>
      <c r="S7" s="107"/>
      <c r="T7" s="108"/>
      <c r="U7" s="106" t="s">
        <v>55</v>
      </c>
      <c r="V7" s="107"/>
      <c r="W7" s="108"/>
      <c r="X7" s="106" t="s">
        <v>54</v>
      </c>
      <c r="Y7" s="107"/>
      <c r="Z7" s="108"/>
      <c r="AA7" s="73"/>
      <c r="AB7" s="73"/>
      <c r="AK7" s="83"/>
      <c r="AL7" s="106" t="s">
        <v>56</v>
      </c>
      <c r="AM7" s="107"/>
      <c r="AN7" s="108"/>
      <c r="AO7" s="106" t="s">
        <v>55</v>
      </c>
      <c r="AP7" s="107"/>
      <c r="AQ7" s="108"/>
      <c r="AR7" s="106" t="s">
        <v>54</v>
      </c>
      <c r="AS7" s="107"/>
      <c r="AT7" s="108"/>
      <c r="AU7" s="73"/>
      <c r="AV7" s="73"/>
    </row>
    <row r="8" spans="2:48" ht="58" x14ac:dyDescent="0.35">
      <c r="B8" s="97" t="s">
        <v>53</v>
      </c>
      <c r="C8" s="98"/>
      <c r="D8" s="82" t="s">
        <v>52</v>
      </c>
      <c r="E8" s="99" t="s">
        <v>51</v>
      </c>
      <c r="F8" s="100"/>
      <c r="G8" s="101" t="s">
        <v>50</v>
      </c>
      <c r="H8" s="102"/>
      <c r="I8" s="80" t="s">
        <v>49</v>
      </c>
      <c r="J8" s="80" t="s">
        <v>48</v>
      </c>
      <c r="K8" s="80" t="s">
        <v>47</v>
      </c>
      <c r="L8" s="81" t="s">
        <v>46</v>
      </c>
      <c r="M8" s="80" t="s">
        <v>45</v>
      </c>
      <c r="N8" s="79"/>
      <c r="O8" s="79"/>
      <c r="P8" s="79" t="s">
        <v>44</v>
      </c>
      <c r="Q8" s="78" t="s">
        <v>43</v>
      </c>
      <c r="R8" s="78" t="s">
        <v>42</v>
      </c>
      <c r="S8" s="78" t="s">
        <v>41</v>
      </c>
      <c r="T8" s="76" t="s">
        <v>39</v>
      </c>
      <c r="U8" s="78" t="s">
        <v>40</v>
      </c>
      <c r="V8" s="76" t="s">
        <v>39</v>
      </c>
      <c r="W8" s="77" t="s">
        <v>38</v>
      </c>
      <c r="X8" s="78" t="s">
        <v>40</v>
      </c>
      <c r="Y8" s="76" t="s">
        <v>39</v>
      </c>
      <c r="Z8" s="77" t="s">
        <v>38</v>
      </c>
      <c r="AA8" s="76" t="s">
        <v>37</v>
      </c>
      <c r="AB8" s="76" t="s">
        <v>36</v>
      </c>
      <c r="AJ8" s="79" t="s">
        <v>44</v>
      </c>
      <c r="AK8" s="78" t="s">
        <v>43</v>
      </c>
      <c r="AL8" s="78" t="s">
        <v>42</v>
      </c>
      <c r="AM8" s="78" t="s">
        <v>41</v>
      </c>
      <c r="AN8" s="76" t="s">
        <v>39</v>
      </c>
      <c r="AO8" s="78" t="s">
        <v>40</v>
      </c>
      <c r="AP8" s="76" t="s">
        <v>39</v>
      </c>
      <c r="AQ8" s="77" t="s">
        <v>38</v>
      </c>
      <c r="AR8" s="78" t="s">
        <v>40</v>
      </c>
      <c r="AS8" s="76" t="s">
        <v>39</v>
      </c>
      <c r="AT8" s="77" t="s">
        <v>38</v>
      </c>
      <c r="AU8" s="76" t="s">
        <v>37</v>
      </c>
      <c r="AV8" s="76" t="s">
        <v>36</v>
      </c>
    </row>
    <row r="9" spans="2:48" x14ac:dyDescent="0.35">
      <c r="B9" s="74"/>
      <c r="C9" s="74"/>
      <c r="D9" s="74"/>
      <c r="E9" s="74" t="s">
        <v>35</v>
      </c>
      <c r="F9" s="74" t="s">
        <v>34</v>
      </c>
      <c r="G9" s="74" t="s">
        <v>33</v>
      </c>
      <c r="H9" s="74" t="s">
        <v>32</v>
      </c>
      <c r="I9" s="74" t="s">
        <v>32</v>
      </c>
      <c r="J9" s="74" t="s">
        <v>30</v>
      </c>
      <c r="K9" s="74" t="s">
        <v>31</v>
      </c>
      <c r="L9" s="74"/>
      <c r="M9" s="74"/>
      <c r="N9" s="42"/>
      <c r="O9" s="42"/>
      <c r="Q9" s="73"/>
      <c r="R9" s="74" t="s">
        <v>30</v>
      </c>
      <c r="S9" s="74" t="s">
        <v>30</v>
      </c>
      <c r="T9" s="73" t="s">
        <v>29</v>
      </c>
      <c r="U9" s="75" t="s">
        <v>28</v>
      </c>
      <c r="V9" s="75" t="s">
        <v>27</v>
      </c>
      <c r="W9" s="74" t="s">
        <v>26</v>
      </c>
      <c r="X9" s="73" t="s">
        <v>25</v>
      </c>
      <c r="Y9" s="73" t="s">
        <v>24</v>
      </c>
      <c r="Z9" s="73" t="s">
        <v>23</v>
      </c>
      <c r="AA9" s="73" t="s">
        <v>22</v>
      </c>
      <c r="AB9" s="73" t="s">
        <v>21</v>
      </c>
      <c r="AK9" s="73"/>
      <c r="AL9" s="74" t="s">
        <v>30</v>
      </c>
      <c r="AM9" s="74" t="s">
        <v>30</v>
      </c>
      <c r="AN9" s="73" t="s">
        <v>29</v>
      </c>
      <c r="AO9" s="75" t="s">
        <v>28</v>
      </c>
      <c r="AP9" s="75" t="s">
        <v>27</v>
      </c>
      <c r="AQ9" s="74" t="s">
        <v>26</v>
      </c>
      <c r="AR9" s="73" t="s">
        <v>25</v>
      </c>
      <c r="AS9" s="73" t="s">
        <v>24</v>
      </c>
      <c r="AT9" s="73" t="s">
        <v>23</v>
      </c>
      <c r="AU9" s="73" t="s">
        <v>22</v>
      </c>
      <c r="AV9" s="73" t="s">
        <v>21</v>
      </c>
    </row>
    <row r="10" spans="2:48" ht="28.15" customHeight="1" x14ac:dyDescent="0.35">
      <c r="B10" s="46" t="s">
        <v>20</v>
      </c>
      <c r="C10" s="45" t="s">
        <v>19</v>
      </c>
      <c r="D10" s="44">
        <f>[1]Pretreatment!R40+[1]Pretreatment!R41</f>
        <v>11.70431211498973</v>
      </c>
      <c r="E10" s="33"/>
      <c r="F10" s="33"/>
      <c r="G10" s="43"/>
      <c r="H10" s="33"/>
      <c r="I10" s="33"/>
      <c r="J10" s="33"/>
      <c r="K10" s="33"/>
      <c r="L10" s="33"/>
      <c r="M10" s="33"/>
      <c r="N10" s="42" t="s">
        <v>2</v>
      </c>
      <c r="O10" s="42"/>
      <c r="Q10" s="103" t="s">
        <v>18</v>
      </c>
      <c r="R10" s="104"/>
      <c r="S10" s="104"/>
      <c r="T10" s="104"/>
      <c r="U10" s="104"/>
      <c r="V10" s="104"/>
      <c r="W10" s="104"/>
      <c r="X10" s="104"/>
      <c r="Y10" s="104"/>
      <c r="Z10" s="104"/>
      <c r="AA10" s="105"/>
      <c r="AB10" s="48">
        <f>D10</f>
        <v>11.70431211498973</v>
      </c>
      <c r="AK10" s="103" t="s">
        <v>17</v>
      </c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40">
        <f>AB10+AB26+AB42+AB58+AB74</f>
        <v>87.474332648870615</v>
      </c>
    </row>
    <row r="11" spans="2:48" x14ac:dyDescent="0.35">
      <c r="B11" s="24"/>
      <c r="C11" s="23"/>
      <c r="D11" s="22"/>
      <c r="E11" s="72">
        <v>1.25</v>
      </c>
      <c r="F11" s="20">
        <v>1.3</v>
      </c>
      <c r="G11" s="47">
        <v>154.5</v>
      </c>
      <c r="H11" s="18">
        <f t="shared" ref="H11:H24" si="0">G11/$G$25*100</f>
        <v>3.1242416889104585</v>
      </c>
      <c r="I11" s="18">
        <v>11.45</v>
      </c>
      <c r="J11" s="18">
        <v>0.8</v>
      </c>
      <c r="K11" s="18">
        <v>24.7</v>
      </c>
      <c r="L11" s="18">
        <v>0.62</v>
      </c>
      <c r="M11" s="17">
        <v>7</v>
      </c>
      <c r="N11" s="16">
        <f>1/Q11</f>
        <v>0.76923076923076916</v>
      </c>
      <c r="O11" s="14"/>
      <c r="P11" s="14">
        <v>7</v>
      </c>
      <c r="Q11" s="38">
        <v>1.3</v>
      </c>
      <c r="R11" s="35">
        <f>H11</f>
        <v>3.1242416889104585</v>
      </c>
      <c r="S11" s="35">
        <f>I11*(100/(100-J11))</f>
        <v>11.542338709677418</v>
      </c>
      <c r="T11" s="37">
        <f t="shared" ref="T11:T24" si="1">R11*S11</f>
        <v>36.061055784299143</v>
      </c>
      <c r="U11" s="37">
        <f>SUM($R$11:R11)</f>
        <v>3.1242416889104585</v>
      </c>
      <c r="V11" s="37">
        <f>SUM($T$11:T11)</f>
        <v>36.061055784299143</v>
      </c>
      <c r="W11" s="37">
        <f t="shared" ref="W11:W24" si="2">V11/U11</f>
        <v>11.54233870967742</v>
      </c>
      <c r="X11" s="37">
        <f>SUM(R11:$R$24)</f>
        <v>99.999999999999972</v>
      </c>
      <c r="Y11" s="34">
        <f>SUM(T11:$T$24)</f>
        <v>2950.1372972195568</v>
      </c>
      <c r="Z11" s="35">
        <f t="shared" ref="Z11:Z24" si="3">Y11/X11</f>
        <v>29.501372972195576</v>
      </c>
      <c r="AA11" s="34">
        <f t="shared" ref="AA11:AA24" si="4">U11-R11/2</f>
        <v>1.5621208444552293</v>
      </c>
      <c r="AB11" s="33"/>
      <c r="AJ11" s="14">
        <v>7</v>
      </c>
      <c r="AK11" s="71">
        <v>1.3</v>
      </c>
      <c r="AL11" s="68">
        <f t="shared" ref="AL11:AL24" si="5">(R11*$AB$10+R27*$AB$26+R43*$AB$42+R59*$AB$58+R75*$AB$74)/$AV$10</f>
        <v>17.4498811097653</v>
      </c>
      <c r="AM11" s="68">
        <f t="shared" ref="AM11:AM24" si="6">((R11*S11*$AB$10+R27*S27*$AB$26+R43*S43*$AB$42+R59*S59*$AB$58+R75*S75*$AB$74)/AL11)/$AV$10</f>
        <v>5.4924555807828019</v>
      </c>
      <c r="AN11" s="70">
        <f t="shared" ref="AN11:AN24" si="7">AL11*AM11</f>
        <v>95.842696885326816</v>
      </c>
      <c r="AO11" s="70">
        <f>SUM($AL$11:AL11)</f>
        <v>17.4498811097653</v>
      </c>
      <c r="AP11" s="70">
        <f>SUM($AN$11:AN11)</f>
        <v>95.842696885326816</v>
      </c>
      <c r="AQ11" s="70">
        <f t="shared" ref="AQ11:AQ24" si="8">AP11/AO11</f>
        <v>5.4924555807828019</v>
      </c>
      <c r="AR11" s="70">
        <f>SUM(AL11:$AL$24)</f>
        <v>100.00000000000001</v>
      </c>
      <c r="AS11" s="69">
        <f>SUM(AN11:$AN$24)</f>
        <v>2475.6212720542544</v>
      </c>
      <c r="AT11" s="68">
        <f t="shared" ref="AT11:AT24" si="9">AS11/AR11</f>
        <v>24.756212720542539</v>
      </c>
      <c r="AU11" s="67">
        <f t="shared" ref="AU11:AU24" si="10">AO11-AL11/2</f>
        <v>8.7249405548826502</v>
      </c>
      <c r="AV11" s="66"/>
    </row>
    <row r="12" spans="2:48" x14ac:dyDescent="0.35">
      <c r="B12" s="24"/>
      <c r="C12" s="23"/>
      <c r="D12" s="22"/>
      <c r="E12" s="59">
        <f t="shared" ref="E12:E24" si="11">F11</f>
        <v>1.3</v>
      </c>
      <c r="F12" s="20">
        <v>1.325</v>
      </c>
      <c r="G12" s="47">
        <v>24.3</v>
      </c>
      <c r="H12" s="18">
        <f t="shared" si="0"/>
        <v>0.49138558602281007</v>
      </c>
      <c r="I12" s="18">
        <v>13.81</v>
      </c>
      <c r="J12" s="18">
        <v>0.73</v>
      </c>
      <c r="K12" s="18">
        <v>23.76</v>
      </c>
      <c r="L12" s="18">
        <v>0.6</v>
      </c>
      <c r="M12" s="17">
        <v>6.5</v>
      </c>
      <c r="N12" s="16">
        <f t="shared" ref="N12:N24" si="12">1/Q12</f>
        <v>0.75471698113207553</v>
      </c>
      <c r="O12" s="14"/>
      <c r="P12" s="14">
        <v>14</v>
      </c>
      <c r="Q12" s="20">
        <v>1.325</v>
      </c>
      <c r="R12" s="26">
        <f t="shared" ref="R12:R24" si="13">H12</f>
        <v>0.49138558602281007</v>
      </c>
      <c r="S12" s="26">
        <f t="shared" ref="S12:S24" si="14">I12*(100/(100-J12))</f>
        <v>13.911554346731139</v>
      </c>
      <c r="T12" s="28">
        <f t="shared" si="1"/>
        <v>6.8359372851566516</v>
      </c>
      <c r="U12" s="28">
        <f>SUM($R$11:R12)</f>
        <v>3.6156272749332685</v>
      </c>
      <c r="V12" s="28">
        <f>SUM($T$11:T12)</f>
        <v>42.896993069455796</v>
      </c>
      <c r="W12" s="28">
        <f t="shared" si="2"/>
        <v>11.864329425451499</v>
      </c>
      <c r="X12" s="28">
        <f>SUM(R12:$R$24)</f>
        <v>96.875758311089527</v>
      </c>
      <c r="Y12" s="92">
        <f>SUM(T12:$T$24)</f>
        <v>2914.0762414352575</v>
      </c>
      <c r="Z12" s="26">
        <f t="shared" si="3"/>
        <v>30.080551546007133</v>
      </c>
      <c r="AA12" s="26">
        <f t="shared" si="4"/>
        <v>3.3699344819218635</v>
      </c>
      <c r="AB12" s="25"/>
      <c r="AJ12" s="14">
        <v>14</v>
      </c>
      <c r="AK12" s="64">
        <v>1.325</v>
      </c>
      <c r="AL12" s="61">
        <f t="shared" si="5"/>
        <v>4.451389822341274</v>
      </c>
      <c r="AM12" s="61">
        <f t="shared" si="6"/>
        <v>9.9251255700187304</v>
      </c>
      <c r="AN12" s="63">
        <f t="shared" si="7"/>
        <v>44.180602947840512</v>
      </c>
      <c r="AO12" s="63">
        <f>SUM($AL$11:AL12)</f>
        <v>21.901270932106573</v>
      </c>
      <c r="AP12" s="63">
        <f>SUM($AN$11:AN12)</f>
        <v>140.02329983316733</v>
      </c>
      <c r="AQ12" s="63">
        <f t="shared" si="8"/>
        <v>6.3933869530784895</v>
      </c>
      <c r="AR12" s="63">
        <f>SUM(AL12:$AL$24)</f>
        <v>82.550118890234714</v>
      </c>
      <c r="AS12" s="62">
        <f>SUM(AN12:$AN$24)</f>
        <v>2379.778575168928</v>
      </c>
      <c r="AT12" s="61">
        <f t="shared" si="9"/>
        <v>28.828287677371769</v>
      </c>
      <c r="AU12" s="61">
        <f t="shared" si="10"/>
        <v>19.675576020935935</v>
      </c>
      <c r="AV12" s="60"/>
    </row>
    <row r="13" spans="2:48" x14ac:dyDescent="0.35">
      <c r="B13" s="24"/>
      <c r="C13" s="23"/>
      <c r="D13" s="22"/>
      <c r="E13" s="59">
        <f t="shared" si="11"/>
        <v>1.325</v>
      </c>
      <c r="F13" s="20">
        <v>1.35</v>
      </c>
      <c r="G13" s="47">
        <v>139.19999999999999</v>
      </c>
      <c r="H13" s="18">
        <f t="shared" si="0"/>
        <v>2.8148507643775784</v>
      </c>
      <c r="I13" s="18">
        <v>16.350000000000001</v>
      </c>
      <c r="J13" s="18">
        <v>0.7</v>
      </c>
      <c r="K13" s="18">
        <v>22.59</v>
      </c>
      <c r="L13" s="18">
        <v>0.57999999999999996</v>
      </c>
      <c r="M13" s="17">
        <v>5</v>
      </c>
      <c r="N13" s="16">
        <f t="shared" si="12"/>
        <v>0.7407407407407407</v>
      </c>
      <c r="O13" s="14"/>
      <c r="P13" s="14">
        <v>21</v>
      </c>
      <c r="Q13" s="20">
        <v>1.35</v>
      </c>
      <c r="R13" s="26">
        <f t="shared" si="13"/>
        <v>2.8148507643775784</v>
      </c>
      <c r="S13" s="26">
        <f t="shared" si="14"/>
        <v>16.465256797583084</v>
      </c>
      <c r="T13" s="28">
        <f t="shared" si="1"/>
        <v>46.347240682349863</v>
      </c>
      <c r="U13" s="28">
        <f>SUM($R$11:R13)</f>
        <v>6.4304780393108469</v>
      </c>
      <c r="V13" s="28">
        <f>SUM($T$11:T13)</f>
        <v>89.244233751805666</v>
      </c>
      <c r="W13" s="28">
        <f t="shared" si="2"/>
        <v>13.878320275139288</v>
      </c>
      <c r="X13" s="28">
        <f>SUM(R13:$R$24)</f>
        <v>96.384372725066726</v>
      </c>
      <c r="Y13" s="92">
        <f>SUM(T13:$T$24)</f>
        <v>2907.2403041501011</v>
      </c>
      <c r="Z13" s="26">
        <f t="shared" si="3"/>
        <v>30.16298412236296</v>
      </c>
      <c r="AA13" s="26">
        <f t="shared" si="4"/>
        <v>5.023052657122058</v>
      </c>
      <c r="AB13" s="29">
        <f>SUM(R12:R15)</f>
        <v>13.212812424168892</v>
      </c>
      <c r="AJ13" s="14">
        <v>21</v>
      </c>
      <c r="AK13" s="64">
        <v>1.35</v>
      </c>
      <c r="AL13" s="61">
        <f t="shared" si="5"/>
        <v>6.9738952671256156</v>
      </c>
      <c r="AM13" s="61">
        <f t="shared" si="6"/>
        <v>13.37906873611184</v>
      </c>
      <c r="AN13" s="63">
        <f t="shared" si="7"/>
        <v>93.304224137318656</v>
      </c>
      <c r="AO13" s="63">
        <f>SUM($AL$11:AL13)</f>
        <v>28.87516619923219</v>
      </c>
      <c r="AP13" s="63">
        <f>SUM($AN$11:AN13)</f>
        <v>233.32752397048597</v>
      </c>
      <c r="AQ13" s="63">
        <f t="shared" si="8"/>
        <v>8.080560380521387</v>
      </c>
      <c r="AR13" s="63">
        <f>SUM(AL13:$AL$24)</f>
        <v>78.098729067893444</v>
      </c>
      <c r="AS13" s="62">
        <f>SUM(AN13:$AN$24)</f>
        <v>2335.5979722210877</v>
      </c>
      <c r="AT13" s="61">
        <f t="shared" si="9"/>
        <v>29.905710375781993</v>
      </c>
      <c r="AU13" s="61">
        <f t="shared" si="10"/>
        <v>25.388218565669384</v>
      </c>
      <c r="AV13" s="65">
        <f>SUM(AL12:AL15)</f>
        <v>28.273620373266784</v>
      </c>
    </row>
    <row r="14" spans="2:48" x14ac:dyDescent="0.35">
      <c r="B14" s="24"/>
      <c r="C14" s="23"/>
      <c r="D14" s="22"/>
      <c r="E14" s="59">
        <f t="shared" si="11"/>
        <v>1.35</v>
      </c>
      <c r="F14" s="20">
        <v>1.375</v>
      </c>
      <c r="G14" s="47">
        <v>155.69999999999999</v>
      </c>
      <c r="H14" s="18">
        <f t="shared" si="0"/>
        <v>3.1485076437757824</v>
      </c>
      <c r="I14" s="18">
        <v>16.760000000000002</v>
      </c>
      <c r="J14" s="18">
        <v>0.7</v>
      </c>
      <c r="K14" s="18">
        <v>22.02</v>
      </c>
      <c r="L14" s="18">
        <v>0.61</v>
      </c>
      <c r="M14" s="17">
        <v>4</v>
      </c>
      <c r="N14" s="16">
        <f t="shared" si="12"/>
        <v>0.72727272727272729</v>
      </c>
      <c r="O14" s="14"/>
      <c r="P14" s="14">
        <v>28</v>
      </c>
      <c r="Q14" s="20">
        <v>1.375</v>
      </c>
      <c r="R14" s="26">
        <f t="shared" si="13"/>
        <v>3.1485076437757824</v>
      </c>
      <c r="S14" s="26">
        <f t="shared" si="14"/>
        <v>16.878147029204431</v>
      </c>
      <c r="T14" s="28">
        <f t="shared" si="1"/>
        <v>53.140974934221667</v>
      </c>
      <c r="U14" s="28">
        <f>SUM($R$11:R14)</f>
        <v>9.5789856830866285</v>
      </c>
      <c r="V14" s="28">
        <f>SUM($T$11:T14)</f>
        <v>142.38520868602734</v>
      </c>
      <c r="W14" s="28">
        <f t="shared" si="2"/>
        <v>14.864330462194268</v>
      </c>
      <c r="X14" s="28">
        <f>SUM(R14:$R$24)</f>
        <v>93.569521960689144</v>
      </c>
      <c r="Y14" s="92">
        <f>SUM(T14:$T$24)</f>
        <v>2860.8930634677508</v>
      </c>
      <c r="Z14" s="26">
        <f t="shared" si="3"/>
        <v>30.575052682963179</v>
      </c>
      <c r="AA14" s="26">
        <f t="shared" si="4"/>
        <v>8.0047318611987368</v>
      </c>
      <c r="AB14" s="29">
        <f>SUM(R13:R16)</f>
        <v>29.022082018927446</v>
      </c>
      <c r="AJ14" s="14">
        <v>28</v>
      </c>
      <c r="AK14" s="64">
        <v>1.375</v>
      </c>
      <c r="AL14" s="61">
        <f t="shared" si="5"/>
        <v>8.0570088197021814</v>
      </c>
      <c r="AM14" s="61">
        <f t="shared" si="6"/>
        <v>15.373107793292675</v>
      </c>
      <c r="AN14" s="63">
        <f t="shared" si="7"/>
        <v>123.86126507679143</v>
      </c>
      <c r="AO14" s="63">
        <f>SUM($AL$11:AL14)</f>
        <v>36.932175018934373</v>
      </c>
      <c r="AP14" s="63">
        <f>SUM($AN$11:AN14)</f>
        <v>357.1887890472774</v>
      </c>
      <c r="AQ14" s="63">
        <f t="shared" si="8"/>
        <v>9.6714799186388021</v>
      </c>
      <c r="AR14" s="63">
        <f>SUM(AL14:$AL$24)</f>
        <v>71.124833800767817</v>
      </c>
      <c r="AS14" s="62">
        <f>SUM(AN14:$AN$24)</f>
        <v>2242.2937480837691</v>
      </c>
      <c r="AT14" s="61">
        <f t="shared" si="9"/>
        <v>31.526172059182553</v>
      </c>
      <c r="AU14" s="61">
        <f t="shared" si="10"/>
        <v>32.903670609083285</v>
      </c>
      <c r="AV14" s="65">
        <f>SUM(AL13:AL16)</f>
        <v>34.245293078417909</v>
      </c>
    </row>
    <row r="15" spans="2:48" x14ac:dyDescent="0.35">
      <c r="B15" s="24"/>
      <c r="C15" s="23"/>
      <c r="D15" s="22"/>
      <c r="E15" s="59">
        <f t="shared" si="11"/>
        <v>1.375</v>
      </c>
      <c r="F15" s="20">
        <v>1.4</v>
      </c>
      <c r="G15" s="47">
        <v>334.2</v>
      </c>
      <c r="H15" s="18">
        <f t="shared" si="0"/>
        <v>6.7580684299927194</v>
      </c>
      <c r="I15" s="18">
        <v>19.25</v>
      </c>
      <c r="J15" s="18">
        <v>0.69</v>
      </c>
      <c r="K15" s="18">
        <v>20.07</v>
      </c>
      <c r="L15" s="18">
        <v>0.59</v>
      </c>
      <c r="M15" s="17">
        <v>1.5</v>
      </c>
      <c r="N15" s="16">
        <f t="shared" si="12"/>
        <v>0.7142857142857143</v>
      </c>
      <c r="O15" s="14"/>
      <c r="P15" s="14">
        <v>35</v>
      </c>
      <c r="Q15" s="20">
        <v>1.4</v>
      </c>
      <c r="R15" s="26">
        <f t="shared" si="13"/>
        <v>6.7580684299927194</v>
      </c>
      <c r="S15" s="26">
        <f t="shared" si="14"/>
        <v>19.383747860235623</v>
      </c>
      <c r="T15" s="28">
        <f t="shared" si="1"/>
        <v>130.99669446919728</v>
      </c>
      <c r="U15" s="28">
        <f>SUM($R$11:R15)</f>
        <v>16.337054113079347</v>
      </c>
      <c r="V15" s="28">
        <f>SUM($T$11:T15)</f>
        <v>273.38190315522462</v>
      </c>
      <c r="W15" s="28">
        <f t="shared" si="2"/>
        <v>16.733855520277473</v>
      </c>
      <c r="X15" s="28">
        <f>SUM(R15:$R$24)</f>
        <v>90.421014316913357</v>
      </c>
      <c r="Y15" s="92">
        <f>SUM(T15:$T$24)</f>
        <v>2807.7520885335289</v>
      </c>
      <c r="Z15" s="26">
        <f t="shared" si="3"/>
        <v>31.051986197508686</v>
      </c>
      <c r="AA15" s="26">
        <f t="shared" si="4"/>
        <v>12.958019898082988</v>
      </c>
      <c r="AB15" s="29">
        <f>SUM(R14:R17)</f>
        <v>37.854889589905369</v>
      </c>
      <c r="AJ15" s="14">
        <v>35</v>
      </c>
      <c r="AK15" s="64">
        <v>1.4</v>
      </c>
      <c r="AL15" s="61">
        <f t="shared" si="5"/>
        <v>8.7913264640977111</v>
      </c>
      <c r="AM15" s="61">
        <f t="shared" si="6"/>
        <v>17.505826727115064</v>
      </c>
      <c r="AN15" s="63">
        <f t="shared" si="7"/>
        <v>153.89943778199569</v>
      </c>
      <c r="AO15" s="63">
        <f>SUM($AL$11:AL15)</f>
        <v>45.723501483032081</v>
      </c>
      <c r="AP15" s="63">
        <f>SUM($AN$11:AN15)</f>
        <v>511.08822682927308</v>
      </c>
      <c r="AQ15" s="63">
        <f t="shared" si="8"/>
        <v>11.177801573637948</v>
      </c>
      <c r="AR15" s="63">
        <f>SUM(AL15:$AL$24)</f>
        <v>63.067824981065627</v>
      </c>
      <c r="AS15" s="62">
        <f>SUM(AN15:$AN$24)</f>
        <v>2118.4324830069777</v>
      </c>
      <c r="AT15" s="61">
        <f t="shared" si="9"/>
        <v>33.589750140312887</v>
      </c>
      <c r="AU15" s="61">
        <f t="shared" si="10"/>
        <v>41.327838250983227</v>
      </c>
      <c r="AV15" s="65">
        <f>SUM(AL14:AL17)</f>
        <v>36.785258204681114</v>
      </c>
    </row>
    <row r="16" spans="2:48" x14ac:dyDescent="0.35">
      <c r="B16" s="24"/>
      <c r="C16" s="23"/>
      <c r="D16" s="22"/>
      <c r="E16" s="59">
        <f t="shared" si="11"/>
        <v>1.4</v>
      </c>
      <c r="F16" s="20">
        <v>1.425</v>
      </c>
      <c r="G16" s="47">
        <v>806.1</v>
      </c>
      <c r="H16" s="18">
        <f t="shared" si="0"/>
        <v>16.300655180781366</v>
      </c>
      <c r="I16" s="18">
        <v>20.04</v>
      </c>
      <c r="J16" s="18">
        <v>0.96</v>
      </c>
      <c r="K16" s="18">
        <v>22.19</v>
      </c>
      <c r="L16" s="18">
        <v>0.65</v>
      </c>
      <c r="M16" s="17">
        <v>1.5</v>
      </c>
      <c r="N16" s="16">
        <f t="shared" si="12"/>
        <v>0.70175438596491224</v>
      </c>
      <c r="O16" s="14"/>
      <c r="P16" s="14">
        <v>42</v>
      </c>
      <c r="Q16" s="20">
        <v>1.425</v>
      </c>
      <c r="R16" s="26">
        <f t="shared" si="13"/>
        <v>16.300655180781366</v>
      </c>
      <c r="S16" s="26">
        <f t="shared" si="14"/>
        <v>20.234248788368333</v>
      </c>
      <c r="T16" s="28">
        <f t="shared" si="1"/>
        <v>329.83151234133533</v>
      </c>
      <c r="U16" s="28">
        <f>SUM($R$11:R16)</f>
        <v>32.637709293860709</v>
      </c>
      <c r="V16" s="28">
        <f>SUM($T$11:T16)</f>
        <v>603.21341549655995</v>
      </c>
      <c r="W16" s="28">
        <f t="shared" si="2"/>
        <v>18.482100262165975</v>
      </c>
      <c r="X16" s="28">
        <f>SUM(R16:$R$24)</f>
        <v>83.662945886920625</v>
      </c>
      <c r="Y16" s="92">
        <f>SUM(T16:$T$24)</f>
        <v>2676.755394064332</v>
      </c>
      <c r="Z16" s="26">
        <f t="shared" si="3"/>
        <v>31.994515202491815</v>
      </c>
      <c r="AA16" s="26">
        <f t="shared" si="4"/>
        <v>24.487381703470028</v>
      </c>
      <c r="AB16" s="29">
        <f>SUM(R15:R18)</f>
        <v>58.327266844617</v>
      </c>
      <c r="AJ16" s="14">
        <v>42</v>
      </c>
      <c r="AK16" s="64">
        <v>1.425</v>
      </c>
      <c r="AL16" s="61">
        <f t="shared" si="5"/>
        <v>10.4230625274924</v>
      </c>
      <c r="AM16" s="61">
        <f t="shared" si="6"/>
        <v>20.529698490541861</v>
      </c>
      <c r="AN16" s="63">
        <f t="shared" si="7"/>
        <v>213.98233103748416</v>
      </c>
      <c r="AO16" s="63">
        <f>SUM($AL$11:AL16)</f>
        <v>56.146564010524479</v>
      </c>
      <c r="AP16" s="63">
        <f>SUM($AN$11:AN16)</f>
        <v>725.07055786675721</v>
      </c>
      <c r="AQ16" s="63">
        <f t="shared" si="8"/>
        <v>12.913890113219489</v>
      </c>
      <c r="AR16" s="63">
        <f>SUM(AL16:$AL$24)</f>
        <v>54.276498516967919</v>
      </c>
      <c r="AS16" s="62">
        <f>SUM(AN16:$AN$24)</f>
        <v>1964.5330452249818</v>
      </c>
      <c r="AT16" s="61">
        <f t="shared" si="9"/>
        <v>36.194911221305652</v>
      </c>
      <c r="AU16" s="61">
        <f t="shared" si="10"/>
        <v>50.935032746778276</v>
      </c>
      <c r="AV16" s="65">
        <f>SUM(AL15:AL18)</f>
        <v>39.547255191750907</v>
      </c>
    </row>
    <row r="17" spans="2:48" x14ac:dyDescent="0.35">
      <c r="B17" s="24"/>
      <c r="C17" s="23"/>
      <c r="D17" s="22"/>
      <c r="E17" s="59">
        <f t="shared" si="11"/>
        <v>1.425</v>
      </c>
      <c r="F17" s="20">
        <v>1.45</v>
      </c>
      <c r="G17" s="47">
        <v>576</v>
      </c>
      <c r="H17" s="18">
        <f t="shared" si="0"/>
        <v>11.647658335355498</v>
      </c>
      <c r="I17" s="18">
        <v>21.93</v>
      </c>
      <c r="J17" s="18">
        <v>0.7</v>
      </c>
      <c r="K17" s="18">
        <v>19.3</v>
      </c>
      <c r="L17" s="18">
        <v>0.52</v>
      </c>
      <c r="M17" s="17">
        <v>1</v>
      </c>
      <c r="N17" s="16">
        <f t="shared" si="12"/>
        <v>0.68965517241379315</v>
      </c>
      <c r="O17" s="14"/>
      <c r="P17" s="14">
        <v>49</v>
      </c>
      <c r="Q17" s="20">
        <v>1.45</v>
      </c>
      <c r="R17" s="26">
        <f t="shared" si="13"/>
        <v>11.647658335355498</v>
      </c>
      <c r="S17" s="26">
        <f t="shared" si="14"/>
        <v>22.084592145015105</v>
      </c>
      <c r="T17" s="28">
        <f t="shared" si="1"/>
        <v>257.23378378081173</v>
      </c>
      <c r="U17" s="28">
        <f>SUM($R$11:R17)</f>
        <v>44.285367629216211</v>
      </c>
      <c r="V17" s="28">
        <f>SUM($T$11:T17)</f>
        <v>860.44719927737174</v>
      </c>
      <c r="W17" s="28">
        <f t="shared" si="2"/>
        <v>19.429604976559173</v>
      </c>
      <c r="X17" s="28">
        <f>SUM(R17:$R$24)</f>
        <v>67.362290706139291</v>
      </c>
      <c r="Y17" s="92">
        <f>SUM(T17:$T$24)</f>
        <v>2346.9238817229966</v>
      </c>
      <c r="Z17" s="26">
        <f t="shared" si="3"/>
        <v>34.840321745606872</v>
      </c>
      <c r="AA17" s="26">
        <f t="shared" si="4"/>
        <v>38.46153846153846</v>
      </c>
      <c r="AB17" s="29">
        <f>SUM(R16:R19)</f>
        <v>70.28836043031626</v>
      </c>
      <c r="AJ17" s="14">
        <v>49</v>
      </c>
      <c r="AK17" s="64">
        <v>1.45</v>
      </c>
      <c r="AL17" s="61">
        <f t="shared" si="5"/>
        <v>9.5138603933888284</v>
      </c>
      <c r="AM17" s="61">
        <f t="shared" si="6"/>
        <v>22.469807947478056</v>
      </c>
      <c r="AN17" s="63">
        <f t="shared" si="7"/>
        <v>213.77461587856502</v>
      </c>
      <c r="AO17" s="63">
        <f>SUM($AL$11:AL17)</f>
        <v>65.660424403913311</v>
      </c>
      <c r="AP17" s="63">
        <f>SUM($AN$11:AN17)</f>
        <v>938.8451737453222</v>
      </c>
      <c r="AQ17" s="63">
        <f t="shared" si="8"/>
        <v>14.298493838083809</v>
      </c>
      <c r="AR17" s="63">
        <f>SUM(AL17:$AL$24)</f>
        <v>43.853435989475514</v>
      </c>
      <c r="AS17" s="62">
        <f>SUM(AN17:$AN$24)</f>
        <v>1750.5507141874973</v>
      </c>
      <c r="AT17" s="61">
        <f t="shared" si="9"/>
        <v>39.918211074899943</v>
      </c>
      <c r="AU17" s="61">
        <f t="shared" si="10"/>
        <v>60.903494207218898</v>
      </c>
      <c r="AV17" s="65">
        <f>SUM(AL16:AL19)</f>
        <v>39.84044773441876</v>
      </c>
    </row>
    <row r="18" spans="2:48" x14ac:dyDescent="0.35">
      <c r="B18" s="24"/>
      <c r="C18" s="23"/>
      <c r="D18" s="22"/>
      <c r="E18" s="59">
        <f t="shared" si="11"/>
        <v>1.45</v>
      </c>
      <c r="F18" s="20">
        <v>1.5</v>
      </c>
      <c r="G18" s="47">
        <v>1168.0999999999999</v>
      </c>
      <c r="H18" s="18">
        <f t="shared" si="0"/>
        <v>23.620884898487422</v>
      </c>
      <c r="I18" s="18">
        <v>24.92</v>
      </c>
      <c r="J18" s="18">
        <v>0.76</v>
      </c>
      <c r="K18" s="18">
        <v>18.71</v>
      </c>
      <c r="L18" s="18">
        <v>0.62</v>
      </c>
      <c r="M18" s="17">
        <v>1</v>
      </c>
      <c r="N18" s="16">
        <f t="shared" si="12"/>
        <v>0.66666666666666663</v>
      </c>
      <c r="O18" s="14"/>
      <c r="P18" s="14">
        <v>56</v>
      </c>
      <c r="Q18" s="20">
        <v>1.5</v>
      </c>
      <c r="R18" s="26">
        <f t="shared" si="13"/>
        <v>23.620884898487422</v>
      </c>
      <c r="S18" s="26">
        <f t="shared" si="14"/>
        <v>25.110842402257159</v>
      </c>
      <c r="T18" s="28">
        <f t="shared" si="1"/>
        <v>593.14031808777372</v>
      </c>
      <c r="U18" s="28">
        <f>SUM($R$11:R18)</f>
        <v>67.906252527703629</v>
      </c>
      <c r="V18" s="28">
        <f>SUM($T$11:T18)</f>
        <v>1453.5875173651455</v>
      </c>
      <c r="W18" s="28">
        <f t="shared" si="2"/>
        <v>21.405797894267941</v>
      </c>
      <c r="X18" s="28">
        <f>SUM(R18:$R$24)</f>
        <v>55.714632370783796</v>
      </c>
      <c r="Y18" s="92">
        <f>SUM(T18:$T$24)</f>
        <v>2089.6900979421848</v>
      </c>
      <c r="Z18" s="26">
        <f t="shared" si="3"/>
        <v>37.507024797995392</v>
      </c>
      <c r="AA18" s="26">
        <f t="shared" si="4"/>
        <v>56.09581007845992</v>
      </c>
      <c r="AB18" s="29"/>
      <c r="AJ18" s="14">
        <v>56</v>
      </c>
      <c r="AK18" s="64">
        <v>1.5</v>
      </c>
      <c r="AL18" s="61">
        <f t="shared" si="5"/>
        <v>10.819005806771967</v>
      </c>
      <c r="AM18" s="61">
        <f t="shared" si="6"/>
        <v>26.060027382618724</v>
      </c>
      <c r="AN18" s="63">
        <f t="shared" si="7"/>
        <v>281.94358757718845</v>
      </c>
      <c r="AO18" s="63">
        <f>SUM($AL$11:AL18)</f>
        <v>76.47943021068528</v>
      </c>
      <c r="AP18" s="63">
        <f>SUM($AN$11:AN18)</f>
        <v>1220.7887613225107</v>
      </c>
      <c r="AQ18" s="63">
        <f t="shared" si="8"/>
        <v>15.962315069025566</v>
      </c>
      <c r="AR18" s="63">
        <f>SUM(AL18:$AL$24)</f>
        <v>34.339575596086689</v>
      </c>
      <c r="AS18" s="62">
        <f>SUM(AN18:$AN$24)</f>
        <v>1536.7760983089324</v>
      </c>
      <c r="AT18" s="61">
        <f t="shared" si="9"/>
        <v>44.75233230558802</v>
      </c>
      <c r="AU18" s="61">
        <f t="shared" si="10"/>
        <v>71.069927307299295</v>
      </c>
      <c r="AV18" s="65"/>
    </row>
    <row r="19" spans="2:48" x14ac:dyDescent="0.35">
      <c r="B19" s="24"/>
      <c r="C19" s="23"/>
      <c r="D19" s="22"/>
      <c r="E19" s="59">
        <f t="shared" si="11"/>
        <v>1.5</v>
      </c>
      <c r="F19" s="20">
        <v>1.6</v>
      </c>
      <c r="G19" s="47">
        <v>925.7</v>
      </c>
      <c r="H19" s="18">
        <f t="shared" si="0"/>
        <v>18.719162015691985</v>
      </c>
      <c r="I19" s="18">
        <v>32.03</v>
      </c>
      <c r="J19" s="18">
        <v>0.86</v>
      </c>
      <c r="K19" s="18">
        <v>17.55</v>
      </c>
      <c r="L19" s="18">
        <v>0.6</v>
      </c>
      <c r="M19" s="17">
        <v>1</v>
      </c>
      <c r="N19" s="16">
        <f t="shared" si="12"/>
        <v>0.625</v>
      </c>
      <c r="O19" s="14"/>
      <c r="P19" s="14">
        <v>63</v>
      </c>
      <c r="Q19" s="20">
        <v>1.6</v>
      </c>
      <c r="R19" s="26">
        <f t="shared" si="13"/>
        <v>18.719162015691985</v>
      </c>
      <c r="S19" s="26">
        <f t="shared" si="14"/>
        <v>32.307847488400242</v>
      </c>
      <c r="T19" s="28">
        <f t="shared" si="1"/>
        <v>604.77583151363149</v>
      </c>
      <c r="U19" s="28">
        <f>SUM($R$11:R19)</f>
        <v>86.625414543395607</v>
      </c>
      <c r="V19" s="28">
        <f>SUM($T$11:T19)</f>
        <v>2058.3633488787768</v>
      </c>
      <c r="W19" s="28">
        <f t="shared" si="2"/>
        <v>23.761656549968084</v>
      </c>
      <c r="X19" s="28">
        <f>SUM(R19:$R$24)</f>
        <v>32.093747472296364</v>
      </c>
      <c r="Y19" s="92">
        <f>SUM(T19:$T$24)</f>
        <v>1496.5497798544116</v>
      </c>
      <c r="Z19" s="26">
        <f t="shared" si="3"/>
        <v>46.630571301972381</v>
      </c>
      <c r="AA19" s="26">
        <f t="shared" si="4"/>
        <v>77.265833535549618</v>
      </c>
      <c r="AB19" s="29">
        <f>SUM(R18:R20)</f>
        <v>46.030494216614095</v>
      </c>
      <c r="AJ19" s="14">
        <v>63</v>
      </c>
      <c r="AK19" s="64">
        <v>1.6</v>
      </c>
      <c r="AL19" s="61">
        <f t="shared" si="5"/>
        <v>9.0845190067655608</v>
      </c>
      <c r="AM19" s="61">
        <f t="shared" si="6"/>
        <v>33.324229019326232</v>
      </c>
      <c r="AN19" s="63">
        <f t="shared" si="7"/>
        <v>302.7345919118776</v>
      </c>
      <c r="AO19" s="63">
        <f>SUM($AL$11:AL19)</f>
        <v>85.56394921745084</v>
      </c>
      <c r="AP19" s="63">
        <f>SUM($AN$11:AN19)</f>
        <v>1523.5233532343882</v>
      </c>
      <c r="AQ19" s="63">
        <f t="shared" si="8"/>
        <v>17.805668943149534</v>
      </c>
      <c r="AR19" s="63">
        <f>SUM(AL19:$AL$24)</f>
        <v>23.520569789314727</v>
      </c>
      <c r="AS19" s="62">
        <f>SUM(AN19:$AN$24)</f>
        <v>1254.8325107317442</v>
      </c>
      <c r="AT19" s="61">
        <f t="shared" si="9"/>
        <v>53.35042994161681</v>
      </c>
      <c r="AU19" s="61">
        <f t="shared" si="10"/>
        <v>81.02168971406806</v>
      </c>
      <c r="AV19" s="65">
        <f>SUM(AL18:AL20)</f>
        <v>22.191841005718977</v>
      </c>
    </row>
    <row r="20" spans="2:48" x14ac:dyDescent="0.35">
      <c r="B20" s="24"/>
      <c r="C20" s="23"/>
      <c r="D20" s="22"/>
      <c r="E20" s="59">
        <f t="shared" si="11"/>
        <v>1.6</v>
      </c>
      <c r="F20" s="20">
        <v>1.7</v>
      </c>
      <c r="G20" s="47">
        <v>182.5</v>
      </c>
      <c r="H20" s="18">
        <f t="shared" si="0"/>
        <v>3.6904473024346842</v>
      </c>
      <c r="I20" s="18">
        <v>39.840000000000003</v>
      </c>
      <c r="J20" s="18">
        <v>0.89</v>
      </c>
      <c r="K20" s="18">
        <v>16.809999999999999</v>
      </c>
      <c r="L20" s="18">
        <v>0.5</v>
      </c>
      <c r="M20" s="17">
        <v>0.5</v>
      </c>
      <c r="N20" s="16">
        <f t="shared" si="12"/>
        <v>0.58823529411764708</v>
      </c>
      <c r="O20" s="14"/>
      <c r="P20" s="14">
        <v>70</v>
      </c>
      <c r="Q20" s="20">
        <v>1.7</v>
      </c>
      <c r="R20" s="26">
        <f t="shared" si="13"/>
        <v>3.6904473024346842</v>
      </c>
      <c r="S20" s="26">
        <f t="shared" si="14"/>
        <v>40.197760064574716</v>
      </c>
      <c r="T20" s="28">
        <f t="shared" si="1"/>
        <v>148.34771519422642</v>
      </c>
      <c r="U20" s="28">
        <f>SUM($R$11:R20)</f>
        <v>90.315861845830284</v>
      </c>
      <c r="V20" s="28">
        <f>SUM($T$11:T20)</f>
        <v>2206.7110640730034</v>
      </c>
      <c r="W20" s="28">
        <f t="shared" si="2"/>
        <v>24.433261433521746</v>
      </c>
      <c r="X20" s="28">
        <f>SUM(R20:$R$24)</f>
        <v>13.374585456604386</v>
      </c>
      <c r="Y20" s="92">
        <f>SUM(T20:$T$24)</f>
        <v>891.77394834077995</v>
      </c>
      <c r="Z20" s="26">
        <f t="shared" si="3"/>
        <v>66.676754298984335</v>
      </c>
      <c r="AA20" s="26">
        <f t="shared" si="4"/>
        <v>88.470638194612945</v>
      </c>
      <c r="AB20" s="29">
        <f>SUM(R20:R21)</f>
        <v>4.5397557227210221</v>
      </c>
      <c r="AJ20" s="14">
        <v>70</v>
      </c>
      <c r="AK20" s="64">
        <v>1.7</v>
      </c>
      <c r="AL20" s="61">
        <f t="shared" si="5"/>
        <v>2.2883161921814494</v>
      </c>
      <c r="AM20" s="61">
        <f t="shared" si="6"/>
        <v>40.359570881442458</v>
      </c>
      <c r="AN20" s="63">
        <f t="shared" si="7"/>
        <v>92.355459557499714</v>
      </c>
      <c r="AO20" s="63">
        <f>SUM($AL$11:AL20)</f>
        <v>87.852265409632295</v>
      </c>
      <c r="AP20" s="63">
        <f>SUM($AN$11:AN20)</f>
        <v>1615.8788127918879</v>
      </c>
      <c r="AQ20" s="63">
        <f t="shared" si="8"/>
        <v>18.393137675590545</v>
      </c>
      <c r="AR20" s="63">
        <f>SUM(AL20:$AL$24)</f>
        <v>14.436050782549167</v>
      </c>
      <c r="AS20" s="62">
        <f>SUM(AN20:$AN$24)</f>
        <v>952.09791881986644</v>
      </c>
      <c r="AT20" s="61">
        <f t="shared" si="9"/>
        <v>65.952796451145602</v>
      </c>
      <c r="AU20" s="61">
        <f t="shared" si="10"/>
        <v>86.708107313541575</v>
      </c>
      <c r="AV20" s="65">
        <f>SUM(AL20:AL21)</f>
        <v>4.2562274595024272</v>
      </c>
    </row>
    <row r="21" spans="2:48" x14ac:dyDescent="0.35">
      <c r="B21" s="24"/>
      <c r="C21" s="23"/>
      <c r="D21" s="22"/>
      <c r="E21" s="59">
        <f t="shared" si="11"/>
        <v>1.7</v>
      </c>
      <c r="F21" s="20">
        <v>1.8</v>
      </c>
      <c r="G21" s="47">
        <v>42</v>
      </c>
      <c r="H21" s="18">
        <f t="shared" si="0"/>
        <v>0.84930842028633835</v>
      </c>
      <c r="I21" s="18">
        <v>45.53</v>
      </c>
      <c r="J21" s="18">
        <v>0.91</v>
      </c>
      <c r="K21" s="18">
        <v>15.87</v>
      </c>
      <c r="L21" s="18">
        <v>2.08</v>
      </c>
      <c r="M21" s="17">
        <v>0.5</v>
      </c>
      <c r="N21" s="16">
        <f t="shared" si="12"/>
        <v>0.55555555555555558</v>
      </c>
      <c r="O21" s="14"/>
      <c r="P21" s="14">
        <v>77</v>
      </c>
      <c r="Q21" s="20">
        <v>1.8</v>
      </c>
      <c r="R21" s="26">
        <f t="shared" si="13"/>
        <v>0.84930842028633835</v>
      </c>
      <c r="S21" s="26">
        <f t="shared" si="14"/>
        <v>45.94812796447674</v>
      </c>
      <c r="T21" s="28">
        <f t="shared" si="1"/>
        <v>39.024131976624268</v>
      </c>
      <c r="U21" s="28">
        <f>SUM($R$11:R21)</f>
        <v>91.165170266116618</v>
      </c>
      <c r="V21" s="28">
        <f>SUM($T$11:T21)</f>
        <v>2245.7351960496276</v>
      </c>
      <c r="W21" s="28">
        <f t="shared" si="2"/>
        <v>24.633697161911631</v>
      </c>
      <c r="X21" s="28">
        <f>SUM(R21:$R$24)</f>
        <v>9.6841381541697018</v>
      </c>
      <c r="Y21" s="92">
        <f>SUM(T21:$T$24)</f>
        <v>743.42623314655361</v>
      </c>
      <c r="Z21" s="26">
        <f t="shared" si="3"/>
        <v>76.767412991362207</v>
      </c>
      <c r="AA21" s="26">
        <f t="shared" si="4"/>
        <v>90.740516055973444</v>
      </c>
      <c r="AB21" s="29">
        <f>SUM(R21:R22)</f>
        <v>1.6925503518563456</v>
      </c>
      <c r="AJ21" s="14">
        <v>77</v>
      </c>
      <c r="AK21" s="64">
        <v>1.8</v>
      </c>
      <c r="AL21" s="61">
        <f t="shared" si="5"/>
        <v>1.967911267320978</v>
      </c>
      <c r="AM21" s="61">
        <f t="shared" si="6"/>
        <v>53.123299229165852</v>
      </c>
      <c r="AN21" s="63">
        <f t="shared" si="7"/>
        <v>104.5419391103393</v>
      </c>
      <c r="AO21" s="63">
        <f>SUM($AL$11:AL21)</f>
        <v>89.820176676953267</v>
      </c>
      <c r="AP21" s="63">
        <f>SUM($AN$11:AN21)</f>
        <v>1720.4207519022273</v>
      </c>
      <c r="AQ21" s="63">
        <f t="shared" si="8"/>
        <v>19.154056644643248</v>
      </c>
      <c r="AR21" s="63">
        <f>SUM(AL21:$AL$24)</f>
        <v>12.147734590367715</v>
      </c>
      <c r="AS21" s="62">
        <f>SUM(AN21:$AN$24)</f>
        <v>859.74245926236665</v>
      </c>
      <c r="AT21" s="61">
        <f t="shared" si="9"/>
        <v>70.773892273221122</v>
      </c>
      <c r="AU21" s="61">
        <f t="shared" si="10"/>
        <v>88.836221043292781</v>
      </c>
      <c r="AV21" s="65">
        <f>SUM(AL21:AL22)</f>
        <v>4.459309059606241</v>
      </c>
    </row>
    <row r="22" spans="2:48" x14ac:dyDescent="0.35">
      <c r="B22" s="24"/>
      <c r="C22" s="23"/>
      <c r="D22" s="22"/>
      <c r="E22" s="59">
        <f t="shared" si="11"/>
        <v>1.8</v>
      </c>
      <c r="F22" s="20">
        <v>2</v>
      </c>
      <c r="G22" s="47">
        <v>41.7</v>
      </c>
      <c r="H22" s="18">
        <f t="shared" si="0"/>
        <v>0.84324193157000737</v>
      </c>
      <c r="I22" s="18">
        <v>61.92</v>
      </c>
      <c r="J22" s="18">
        <v>0.97</v>
      </c>
      <c r="K22" s="18">
        <v>12.12</v>
      </c>
      <c r="L22" s="18">
        <v>1.55</v>
      </c>
      <c r="M22" s="17">
        <v>0</v>
      </c>
      <c r="N22" s="16">
        <f t="shared" si="12"/>
        <v>0.5</v>
      </c>
      <c r="O22" s="14"/>
      <c r="P22" s="14">
        <v>84</v>
      </c>
      <c r="Q22" s="20">
        <v>2</v>
      </c>
      <c r="R22" s="26">
        <f t="shared" si="13"/>
        <v>0.84324193157000737</v>
      </c>
      <c r="S22" s="26">
        <f t="shared" si="14"/>
        <v>62.526507119054834</v>
      </c>
      <c r="T22" s="28">
        <f t="shared" si="1"/>
        <v>52.724972637397613</v>
      </c>
      <c r="U22" s="28">
        <f>SUM($R$11:R22)</f>
        <v>92.008412197686624</v>
      </c>
      <c r="V22" s="28">
        <f>SUM($T$11:T22)</f>
        <v>2298.4601686870251</v>
      </c>
      <c r="W22" s="28">
        <f t="shared" si="2"/>
        <v>24.980978519101274</v>
      </c>
      <c r="X22" s="28">
        <f>SUM(R22:$R$24)</f>
        <v>8.8348297338833621</v>
      </c>
      <c r="Y22" s="92">
        <f>SUM(T22:$T$24)</f>
        <v>704.40210116992921</v>
      </c>
      <c r="Z22" s="26">
        <f t="shared" si="3"/>
        <v>79.730127505276585</v>
      </c>
      <c r="AA22" s="26">
        <f t="shared" si="4"/>
        <v>91.586791231901614</v>
      </c>
      <c r="AB22" s="25"/>
      <c r="AJ22" s="14">
        <v>84</v>
      </c>
      <c r="AK22" s="64">
        <v>2</v>
      </c>
      <c r="AL22" s="61">
        <f t="shared" si="5"/>
        <v>2.4913977922852628</v>
      </c>
      <c r="AM22" s="61">
        <f t="shared" si="6"/>
        <v>61.564657165668272</v>
      </c>
      <c r="AN22" s="63">
        <f t="shared" si="7"/>
        <v>153.38205094534501</v>
      </c>
      <c r="AO22" s="63">
        <f>SUM($AL$11:AL22)</f>
        <v>92.311574469238536</v>
      </c>
      <c r="AP22" s="63">
        <f>SUM($AN$11:AN22)</f>
        <v>1873.8028028475724</v>
      </c>
      <c r="AQ22" s="63">
        <f t="shared" si="8"/>
        <v>20.298676667810376</v>
      </c>
      <c r="AR22" s="63">
        <f>SUM(AL22:$AL$24)</f>
        <v>10.179823323046737</v>
      </c>
      <c r="AS22" s="62">
        <f>SUM(AN22:$AN$24)</f>
        <v>755.20052015202737</v>
      </c>
      <c r="AT22" s="61">
        <f t="shared" si="9"/>
        <v>74.18601445098578</v>
      </c>
      <c r="AU22" s="61">
        <f t="shared" si="10"/>
        <v>91.065875573095909</v>
      </c>
      <c r="AV22" s="60"/>
    </row>
    <row r="23" spans="2:48" x14ac:dyDescent="0.35">
      <c r="B23" s="24"/>
      <c r="C23" s="23"/>
      <c r="D23" s="22"/>
      <c r="E23" s="59">
        <f t="shared" si="11"/>
        <v>2</v>
      </c>
      <c r="F23" s="20">
        <v>2.2000000000000002</v>
      </c>
      <c r="G23" s="47">
        <v>115.2</v>
      </c>
      <c r="H23" s="18">
        <f t="shared" si="0"/>
        <v>2.3295316670710995</v>
      </c>
      <c r="I23" s="18">
        <v>74.31</v>
      </c>
      <c r="J23" s="18">
        <v>1.1299999999999999</v>
      </c>
      <c r="K23" s="18">
        <v>10.69</v>
      </c>
      <c r="L23" s="18">
        <v>0.35</v>
      </c>
      <c r="M23" s="17">
        <v>0</v>
      </c>
      <c r="N23" s="16">
        <f t="shared" si="12"/>
        <v>0.45454545454545453</v>
      </c>
      <c r="O23" s="14"/>
      <c r="P23" s="14">
        <v>91</v>
      </c>
      <c r="Q23" s="20">
        <v>2.2000000000000002</v>
      </c>
      <c r="R23" s="26">
        <f t="shared" si="13"/>
        <v>2.3295316670710995</v>
      </c>
      <c r="S23" s="26">
        <f t="shared" si="14"/>
        <v>75.159300091028626</v>
      </c>
      <c r="T23" s="28">
        <f t="shared" si="1"/>
        <v>175.08596963695095</v>
      </c>
      <c r="U23" s="28">
        <f>SUM($R$11:R23)</f>
        <v>94.337943864757719</v>
      </c>
      <c r="V23" s="28">
        <f>SUM($T$11:T23)</f>
        <v>2473.5461383239763</v>
      </c>
      <c r="W23" s="28">
        <f t="shared" si="2"/>
        <v>26.220055653004653</v>
      </c>
      <c r="X23" s="28">
        <f>SUM(R23:$R$24)</f>
        <v>7.9915878023133544</v>
      </c>
      <c r="Y23" s="92">
        <f>SUM(T23:$T$24)</f>
        <v>651.6771285325317</v>
      </c>
      <c r="Z23" s="26">
        <f t="shared" si="3"/>
        <v>81.545388057162853</v>
      </c>
      <c r="AA23" s="26">
        <f t="shared" si="4"/>
        <v>93.173178031222164</v>
      </c>
      <c r="AB23" s="25"/>
      <c r="AJ23" s="14">
        <v>91</v>
      </c>
      <c r="AK23" s="64">
        <v>2.2000000000000002</v>
      </c>
      <c r="AL23" s="61">
        <f t="shared" si="5"/>
        <v>2.4601506657843841</v>
      </c>
      <c r="AM23" s="61">
        <f t="shared" si="6"/>
        <v>72.467466591933288</v>
      </c>
      <c r="AN23" s="63">
        <f t="shared" si="7"/>
        <v>178.28088618385229</v>
      </c>
      <c r="AO23" s="63">
        <f>SUM($AL$11:AL23)</f>
        <v>94.771725135022919</v>
      </c>
      <c r="AP23" s="63">
        <f>SUM($AN$11:AN23)</f>
        <v>2052.0836890314245</v>
      </c>
      <c r="AQ23" s="63">
        <f t="shared" si="8"/>
        <v>21.6529105712467</v>
      </c>
      <c r="AR23" s="63">
        <f>SUM(AL23:$AL$24)</f>
        <v>7.6884255307614744</v>
      </c>
      <c r="AS23" s="62">
        <f>SUM(AN23:$AN$24)</f>
        <v>601.81846920668238</v>
      </c>
      <c r="AT23" s="61">
        <f t="shared" si="9"/>
        <v>78.275905359140197</v>
      </c>
      <c r="AU23" s="61">
        <f t="shared" si="10"/>
        <v>93.541649802130721</v>
      </c>
      <c r="AV23" s="60"/>
    </row>
    <row r="24" spans="2:48" x14ac:dyDescent="0.35">
      <c r="B24" s="24"/>
      <c r="C24" s="23"/>
      <c r="D24" s="22"/>
      <c r="E24" s="59">
        <f t="shared" si="11"/>
        <v>2.2000000000000002</v>
      </c>
      <c r="F24" s="20">
        <v>2.8</v>
      </c>
      <c r="G24" s="47">
        <v>280</v>
      </c>
      <c r="H24" s="18">
        <f t="shared" si="0"/>
        <v>5.6620561352422554</v>
      </c>
      <c r="I24" s="18">
        <v>83.39</v>
      </c>
      <c r="J24" s="18">
        <v>0.93</v>
      </c>
      <c r="K24" s="18">
        <v>11.63</v>
      </c>
      <c r="L24" s="18">
        <v>0.9</v>
      </c>
      <c r="M24" s="17">
        <v>0</v>
      </c>
      <c r="N24" s="16">
        <f t="shared" si="12"/>
        <v>0.35714285714285715</v>
      </c>
      <c r="O24" s="14"/>
      <c r="P24" s="14">
        <v>98</v>
      </c>
      <c r="Q24" s="13">
        <v>2.8</v>
      </c>
      <c r="R24" s="10">
        <f t="shared" si="13"/>
        <v>5.6620561352422554</v>
      </c>
      <c r="S24" s="10">
        <f t="shared" si="14"/>
        <v>84.172807106086623</v>
      </c>
      <c r="T24" s="12">
        <f t="shared" si="1"/>
        <v>476.59115889558069</v>
      </c>
      <c r="U24" s="12">
        <f>SUM($R$11:R24)</f>
        <v>99.999999999999972</v>
      </c>
      <c r="V24" s="12">
        <f>SUM($T$11:T24)</f>
        <v>2950.1372972195568</v>
      </c>
      <c r="W24" s="12">
        <f t="shared" si="2"/>
        <v>29.501372972195576</v>
      </c>
      <c r="X24" s="12">
        <f>SUM(R24:$R$24)</f>
        <v>5.6620561352422554</v>
      </c>
      <c r="Y24" s="93">
        <f>SUM(T24:$T$24)</f>
        <v>476.59115889558069</v>
      </c>
      <c r="Z24" s="10">
        <f t="shared" si="3"/>
        <v>84.172807106086623</v>
      </c>
      <c r="AA24" s="10">
        <f t="shared" si="4"/>
        <v>97.168971932378838</v>
      </c>
      <c r="AB24" s="9"/>
      <c r="AD24" s="1"/>
      <c r="AJ24" s="14">
        <v>98</v>
      </c>
      <c r="AK24" s="58">
        <v>2.8</v>
      </c>
      <c r="AL24" s="55">
        <f t="shared" si="5"/>
        <v>5.2282748649770907</v>
      </c>
      <c r="AM24" s="55">
        <f t="shared" si="6"/>
        <v>81.009050587604463</v>
      </c>
      <c r="AN24" s="57">
        <f t="shared" si="7"/>
        <v>423.53758302283006</v>
      </c>
      <c r="AO24" s="57">
        <f>SUM($AL$11:AL24)</f>
        <v>100.00000000000001</v>
      </c>
      <c r="AP24" s="57">
        <f>SUM($AN$11:AN24)</f>
        <v>2475.6212720542544</v>
      </c>
      <c r="AQ24" s="57">
        <f t="shared" si="8"/>
        <v>24.756212720542539</v>
      </c>
      <c r="AR24" s="57">
        <f>SUM(AL24:$AL$24)</f>
        <v>5.2282748649770907</v>
      </c>
      <c r="AS24" s="56">
        <f>SUM(AN24:$AN$24)</f>
        <v>423.53758302283006</v>
      </c>
      <c r="AT24" s="55">
        <f t="shared" si="9"/>
        <v>81.009050587604463</v>
      </c>
      <c r="AU24" s="55">
        <f t="shared" si="10"/>
        <v>97.385862567511467</v>
      </c>
      <c r="AV24" s="54"/>
    </row>
    <row r="25" spans="2:48" x14ac:dyDescent="0.35">
      <c r="B25" s="94" t="s">
        <v>0</v>
      </c>
      <c r="C25" s="95"/>
      <c r="D25" s="95"/>
      <c r="E25" s="8"/>
      <c r="F25" s="7"/>
      <c r="G25" s="6">
        <f>SUM(G11:G24)</f>
        <v>4945.2</v>
      </c>
      <c r="H25" s="5">
        <f>SUM(H11:H24)</f>
        <v>99.999999999999972</v>
      </c>
      <c r="I25" s="4">
        <f>SUMPRODUCT($H$11:$H$24,I11:I24)/$H$25</f>
        <v>29.249250384210967</v>
      </c>
      <c r="J25" s="4">
        <f>SUMPRODUCT($H$11:$H$24,J11:J24)/$H$25</f>
        <v>0.82321261020787839</v>
      </c>
      <c r="K25" s="4">
        <f>SUMPRODUCT($H$11:$H$24,K11:K24)/$H$25</f>
        <v>18.908629782415275</v>
      </c>
      <c r="L25" s="4">
        <f>SUMPRODUCT($H$11:$H$24,L11:L24)/$H$25</f>
        <v>0.63130975491385599</v>
      </c>
      <c r="M25" s="3">
        <f>SUMPRODUCT($H$11:$H$24,M11:M24)/$H$25</f>
        <v>1.4257765105556905</v>
      </c>
      <c r="N25" s="2"/>
      <c r="O25" s="53">
        <f>COUNT(O11:O24)</f>
        <v>0</v>
      </c>
      <c r="P25" s="41">
        <v>100</v>
      </c>
      <c r="Q25" s="52"/>
      <c r="S25" s="1"/>
      <c r="AD25" s="1"/>
    </row>
    <row r="26" spans="2:48" ht="38.5" customHeight="1" x14ac:dyDescent="0.35">
      <c r="B26" s="46" t="s">
        <v>16</v>
      </c>
      <c r="C26" s="45" t="s">
        <v>15</v>
      </c>
      <c r="D26" s="44">
        <f>[1]Pretreatment!R42</f>
        <v>13.141683778234084</v>
      </c>
      <c r="E26" s="33"/>
      <c r="F26" s="33"/>
      <c r="G26" s="43"/>
      <c r="H26" s="33"/>
      <c r="I26" s="33"/>
      <c r="J26" s="33"/>
      <c r="K26" s="33"/>
      <c r="L26" s="33"/>
      <c r="M26" s="33"/>
      <c r="N26" s="42" t="s">
        <v>2</v>
      </c>
      <c r="O26" s="51"/>
      <c r="P26" s="41"/>
      <c r="Q26" s="103" t="s">
        <v>14</v>
      </c>
      <c r="R26" s="104"/>
      <c r="S26" s="104"/>
      <c r="T26" s="104"/>
      <c r="U26" s="104"/>
      <c r="V26" s="104"/>
      <c r="W26" s="104"/>
      <c r="X26" s="104"/>
      <c r="Y26" s="104"/>
      <c r="Z26" s="104"/>
      <c r="AA26" s="105"/>
      <c r="AB26" s="48">
        <f>D26</f>
        <v>13.141683778234084</v>
      </c>
      <c r="AD26" s="1"/>
      <c r="AK26" s="103" t="s">
        <v>13</v>
      </c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40">
        <f>AB10+AB26</f>
        <v>24.845995893223815</v>
      </c>
    </row>
    <row r="27" spans="2:48" x14ac:dyDescent="0.35">
      <c r="B27" s="24"/>
      <c r="C27" s="23"/>
      <c r="D27" s="22"/>
      <c r="E27" s="39">
        <v>1.25</v>
      </c>
      <c r="F27" s="20">
        <v>1.3</v>
      </c>
      <c r="G27" s="47">
        <v>129.69999999999999</v>
      </c>
      <c r="H27" s="18">
        <f t="shared" ref="H27:H40" si="15">G27/$G$41*100</f>
        <v>2.6209432970941275</v>
      </c>
      <c r="I27" s="18">
        <v>10.35</v>
      </c>
      <c r="J27" s="18">
        <v>0.69</v>
      </c>
      <c r="K27" s="18">
        <v>25.38</v>
      </c>
      <c r="L27" s="18">
        <v>0.62</v>
      </c>
      <c r="M27" s="17">
        <v>6.5</v>
      </c>
      <c r="N27" s="16">
        <f t="shared" ref="N27:N40" si="16">1/Q27</f>
        <v>0.76923076923076916</v>
      </c>
      <c r="O27" s="14"/>
      <c r="P27" s="14">
        <v>7</v>
      </c>
      <c r="Q27" s="38">
        <v>1.3</v>
      </c>
      <c r="R27" s="35">
        <f t="shared" ref="R27:R40" si="17">H27</f>
        <v>2.6209432970941275</v>
      </c>
      <c r="S27" s="35">
        <f t="shared" ref="S27:S40" si="18">I27*100/(100-J27)</f>
        <v>10.421911187191622</v>
      </c>
      <c r="T27" s="37">
        <f t="shared" ref="T27:T40" si="19">R27*S27</f>
        <v>27.315238268980181</v>
      </c>
      <c r="U27" s="37">
        <f>SUM($R$27:R27)</f>
        <v>2.6209432970941275</v>
      </c>
      <c r="V27" s="37">
        <f>SUM($T$27:T27)</f>
        <v>27.315238268980181</v>
      </c>
      <c r="W27" s="37">
        <f t="shared" ref="W27:W40" si="20">V27/U27</f>
        <v>10.421911187191622</v>
      </c>
      <c r="X27" s="37">
        <f>SUM(R27:$R$40)</f>
        <v>100</v>
      </c>
      <c r="Y27" s="36">
        <f>SUM(T27:$T$40)</f>
        <v>2889.3962583345233</v>
      </c>
      <c r="Z27" s="35">
        <f t="shared" ref="Z27:Z40" si="21">Y27/X27</f>
        <v>28.893962583345232</v>
      </c>
      <c r="AA27" s="34">
        <f t="shared" ref="AA27:AA40" si="22">U27-R27/2</f>
        <v>1.3104716485470638</v>
      </c>
      <c r="AB27" s="33"/>
      <c r="AD27" s="1"/>
      <c r="AJ27" s="14">
        <v>7</v>
      </c>
      <c r="AK27" s="38">
        <v>1.3</v>
      </c>
      <c r="AL27" s="35">
        <f t="shared" ref="AL27:AL40" si="23">(R11*$AB$10+R27*$AB$26)/$AV$26</f>
        <v>2.858034275057193</v>
      </c>
      <c r="AM27" s="35">
        <f t="shared" ref="AM27:AM40" si="24">((R11*S11*$AB$10+R27*S27*$AB$26)/AL27)/$AV$26</f>
        <v>10.998877483167597</v>
      </c>
      <c r="AN27" s="37">
        <f t="shared" ref="AN27:AN40" si="25">AL27*AM27</f>
        <v>31.435168834047786</v>
      </c>
      <c r="AO27" s="37">
        <f>SUM($AL$27:AL27)</f>
        <v>2.858034275057193</v>
      </c>
      <c r="AP27" s="37">
        <f>SUM($AN$27:AN27)</f>
        <v>31.435168834047786</v>
      </c>
      <c r="AQ27" s="37">
        <f t="shared" ref="AQ27:AQ40" si="26">AP27/AO27</f>
        <v>10.998877483167597</v>
      </c>
      <c r="AR27" s="37">
        <f>SUM(AL27:$AL$40)</f>
        <v>100</v>
      </c>
      <c r="AS27" s="36">
        <f>SUM(AN27:$AN$40)</f>
        <v>2918.0098055778863</v>
      </c>
      <c r="AT27" s="35">
        <f t="shared" ref="AT27:AT40" si="27">AS27/AR27</f>
        <v>29.180098055778863</v>
      </c>
      <c r="AU27" s="34">
        <f t="shared" ref="AU27:AU40" si="28">AO27-AL27/2</f>
        <v>1.4290171375285965</v>
      </c>
      <c r="AV27" s="33"/>
    </row>
    <row r="28" spans="2:48" x14ac:dyDescent="0.35">
      <c r="B28" s="24"/>
      <c r="C28" s="23"/>
      <c r="D28" s="22"/>
      <c r="E28" s="21">
        <f t="shared" ref="E28:E40" si="29">F27</f>
        <v>1.3</v>
      </c>
      <c r="F28" s="20">
        <v>1.325</v>
      </c>
      <c r="G28" s="47">
        <v>134.30000000000001</v>
      </c>
      <c r="H28" s="18">
        <f t="shared" si="15"/>
        <v>2.7138988804914526</v>
      </c>
      <c r="I28" s="18">
        <v>12.5</v>
      </c>
      <c r="J28" s="18">
        <v>0.74</v>
      </c>
      <c r="K28" s="18">
        <v>24.45</v>
      </c>
      <c r="L28" s="18">
        <v>0.61</v>
      </c>
      <c r="M28" s="17">
        <v>6</v>
      </c>
      <c r="N28" s="16">
        <f t="shared" si="16"/>
        <v>0.75471698113207553</v>
      </c>
      <c r="O28" s="14"/>
      <c r="P28" s="14">
        <v>14</v>
      </c>
      <c r="Q28" s="20">
        <v>1.325</v>
      </c>
      <c r="R28" s="26">
        <f t="shared" si="17"/>
        <v>2.7138988804914526</v>
      </c>
      <c r="S28" s="26">
        <f t="shared" si="18"/>
        <v>12.593189603062664</v>
      </c>
      <c r="T28" s="28">
        <f t="shared" si="19"/>
        <v>34.176643165568365</v>
      </c>
      <c r="U28" s="28">
        <f>SUM($R$27:R28)</f>
        <v>5.3348421775855801</v>
      </c>
      <c r="V28" s="28">
        <f>SUM($T$27:T28)</f>
        <v>61.491881434548546</v>
      </c>
      <c r="W28" s="28">
        <f t="shared" si="20"/>
        <v>11.526466835871474</v>
      </c>
      <c r="X28" s="28">
        <f>SUM(R28:$R$40)</f>
        <v>97.379056702905871</v>
      </c>
      <c r="Y28" s="27">
        <f>SUM(T28:$T$40)</f>
        <v>2862.0810200655428</v>
      </c>
      <c r="Z28" s="26">
        <f t="shared" si="21"/>
        <v>29.391135188313402</v>
      </c>
      <c r="AA28" s="26">
        <f t="shared" si="22"/>
        <v>3.9778927373398538</v>
      </c>
      <c r="AB28" s="25"/>
      <c r="AD28" s="1"/>
      <c r="AJ28" s="14">
        <v>14</v>
      </c>
      <c r="AK28" s="20">
        <v>1.325</v>
      </c>
      <c r="AL28" s="26">
        <f t="shared" si="23"/>
        <v>1.6669298078905217</v>
      </c>
      <c r="AM28" s="26">
        <f t="shared" si="24"/>
        <v>12.776265076586034</v>
      </c>
      <c r="AN28" s="28">
        <f t="shared" si="25"/>
        <v>21.297137089671939</v>
      </c>
      <c r="AO28" s="28">
        <f>SUM($AL$27:AL28)</f>
        <v>4.5249640829477151</v>
      </c>
      <c r="AP28" s="28">
        <f>SUM($AN$27:AN28)</f>
        <v>52.732305923719721</v>
      </c>
      <c r="AQ28" s="28">
        <f t="shared" si="26"/>
        <v>11.653640770860685</v>
      </c>
      <c r="AR28" s="28">
        <f>SUM(AL28:$AL$40)</f>
        <v>97.141965724942793</v>
      </c>
      <c r="AS28" s="27">
        <f>SUM(AN28:$AN$40)</f>
        <v>2886.5746367438387</v>
      </c>
      <c r="AT28" s="26">
        <f t="shared" si="27"/>
        <v>29.715011583327094</v>
      </c>
      <c r="AU28" s="26">
        <f t="shared" si="28"/>
        <v>3.6914991790024541</v>
      </c>
      <c r="AV28" s="25"/>
    </row>
    <row r="29" spans="2:48" x14ac:dyDescent="0.35">
      <c r="B29" s="24"/>
      <c r="C29" s="23"/>
      <c r="D29" s="22"/>
      <c r="E29" s="21">
        <f t="shared" si="29"/>
        <v>1.325</v>
      </c>
      <c r="F29" s="20">
        <v>1.35</v>
      </c>
      <c r="G29" s="47">
        <v>311.2</v>
      </c>
      <c r="H29" s="18">
        <f t="shared" si="15"/>
        <v>6.2886472941842149</v>
      </c>
      <c r="I29" s="18">
        <v>16.760000000000002</v>
      </c>
      <c r="J29" s="18">
        <v>0.87</v>
      </c>
      <c r="K29" s="18">
        <v>23.01</v>
      </c>
      <c r="L29" s="18">
        <v>1.33</v>
      </c>
      <c r="M29" s="17">
        <v>6</v>
      </c>
      <c r="N29" s="16">
        <f t="shared" si="16"/>
        <v>0.7407407407407407</v>
      </c>
      <c r="O29" s="14"/>
      <c r="P29" s="14">
        <v>21</v>
      </c>
      <c r="Q29" s="20">
        <v>1.35</v>
      </c>
      <c r="R29" s="26">
        <f t="shared" si="17"/>
        <v>6.2886472941842149</v>
      </c>
      <c r="S29" s="26">
        <f t="shared" si="18"/>
        <v>16.907091697770607</v>
      </c>
      <c r="T29" s="28">
        <f t="shared" si="19"/>
        <v>106.32273645770952</v>
      </c>
      <c r="U29" s="28">
        <f>SUM($R$27:R29)</f>
        <v>11.623489471769794</v>
      </c>
      <c r="V29" s="28">
        <f>SUM($T$27:T29)</f>
        <v>167.81461789225807</v>
      </c>
      <c r="W29" s="28">
        <f t="shared" si="20"/>
        <v>14.437542039318989</v>
      </c>
      <c r="X29" s="28">
        <f>SUM(R29:$R$40)</f>
        <v>94.665157822414415</v>
      </c>
      <c r="Y29" s="27">
        <f>SUM(T29:$T$40)</f>
        <v>2827.9043768999745</v>
      </c>
      <c r="Z29" s="26">
        <f t="shared" si="21"/>
        <v>29.872705459435629</v>
      </c>
      <c r="AA29" s="26">
        <f t="shared" si="22"/>
        <v>8.4791658246776862</v>
      </c>
      <c r="AB29" s="29">
        <f>SUM(R28:R31)</f>
        <v>28.850584003556566</v>
      </c>
      <c r="AJ29" s="14">
        <v>21</v>
      </c>
      <c r="AK29" s="20">
        <v>1.35</v>
      </c>
      <c r="AL29" s="26">
        <f t="shared" si="23"/>
        <v>4.6522307470852207</v>
      </c>
      <c r="AM29" s="26">
        <f t="shared" si="24"/>
        <v>16.781157514411642</v>
      </c>
      <c r="AN29" s="28">
        <f t="shared" si="25"/>
        <v>78.069816960226035</v>
      </c>
      <c r="AO29" s="28">
        <f>SUM($AL$27:AL29)</f>
        <v>9.1771948300329349</v>
      </c>
      <c r="AP29" s="28">
        <f>SUM($AN$27:AN29)</f>
        <v>130.80212288394574</v>
      </c>
      <c r="AQ29" s="28">
        <f t="shared" si="26"/>
        <v>14.252952596787827</v>
      </c>
      <c r="AR29" s="28">
        <f>SUM(AL29:$AL$40)</f>
        <v>95.475035917052281</v>
      </c>
      <c r="AS29" s="27">
        <f>SUM(AN29:$AN$40)</f>
        <v>2865.2774996541666</v>
      </c>
      <c r="AT29" s="26">
        <f t="shared" si="27"/>
        <v>30.010750686111184</v>
      </c>
      <c r="AU29" s="26">
        <f t="shared" si="28"/>
        <v>6.851079456490325</v>
      </c>
      <c r="AV29" s="29">
        <f>SUM(AL28:AL31)</f>
        <v>21.48403044963014</v>
      </c>
    </row>
    <row r="30" spans="2:48" x14ac:dyDescent="0.35">
      <c r="B30" s="24"/>
      <c r="C30" s="23"/>
      <c r="D30" s="22"/>
      <c r="E30" s="21">
        <f t="shared" si="29"/>
        <v>1.35</v>
      </c>
      <c r="F30" s="20">
        <v>1.375</v>
      </c>
      <c r="G30" s="47">
        <v>500.1</v>
      </c>
      <c r="H30" s="18">
        <f t="shared" si="15"/>
        <v>10.105888534130866</v>
      </c>
      <c r="I30" s="18">
        <v>17.43</v>
      </c>
      <c r="J30" s="18">
        <v>0.69</v>
      </c>
      <c r="K30" s="18">
        <v>22.01</v>
      </c>
      <c r="L30" s="18">
        <v>0.59</v>
      </c>
      <c r="M30" s="17">
        <v>3.5</v>
      </c>
      <c r="N30" s="16">
        <f t="shared" si="16"/>
        <v>0.72727272727272729</v>
      </c>
      <c r="O30" s="14"/>
      <c r="P30" s="14">
        <v>28</v>
      </c>
      <c r="Q30" s="20">
        <v>1.375</v>
      </c>
      <c r="R30" s="26">
        <f t="shared" si="17"/>
        <v>10.105888534130866</v>
      </c>
      <c r="S30" s="26">
        <f t="shared" si="18"/>
        <v>17.551102607995166</v>
      </c>
      <c r="T30" s="28">
        <f t="shared" si="19"/>
        <v>177.36948660749269</v>
      </c>
      <c r="U30" s="28">
        <f>SUM($R$27:R30)</f>
        <v>21.72937800590066</v>
      </c>
      <c r="V30" s="28">
        <f>SUM($T$27:T30)</f>
        <v>345.18410449975079</v>
      </c>
      <c r="W30" s="28">
        <f t="shared" si="20"/>
        <v>15.88559527134257</v>
      </c>
      <c r="X30" s="28">
        <f>SUM(R30:$R$40)</f>
        <v>88.376510528230199</v>
      </c>
      <c r="Y30" s="27">
        <f>SUM(T30:$T$40)</f>
        <v>2721.5816404422653</v>
      </c>
      <c r="Z30" s="26">
        <f t="shared" si="21"/>
        <v>30.79530549662184</v>
      </c>
      <c r="AA30" s="26">
        <f t="shared" si="22"/>
        <v>16.676433738835229</v>
      </c>
      <c r="AB30" s="29">
        <f>SUM(R29:R32)</f>
        <v>39.069635856605913</v>
      </c>
      <c r="AJ30" s="14">
        <v>28</v>
      </c>
      <c r="AK30" s="20">
        <v>1.375</v>
      </c>
      <c r="AL30" s="26">
        <f t="shared" si="23"/>
        <v>6.8284446436330164</v>
      </c>
      <c r="AM30" s="26">
        <f t="shared" si="24"/>
        <v>17.404932407699466</v>
      </c>
      <c r="AN30" s="28">
        <f t="shared" si="25"/>
        <v>118.84861747215011</v>
      </c>
      <c r="AO30" s="28">
        <f>SUM($AL$27:AL30)</f>
        <v>16.005639473665951</v>
      </c>
      <c r="AP30" s="28">
        <f>SUM($AN$27:AN30)</f>
        <v>249.65074035609587</v>
      </c>
      <c r="AQ30" s="28">
        <f t="shared" si="26"/>
        <v>15.597673605409254</v>
      </c>
      <c r="AR30" s="28">
        <f>SUM(AL30:$AL$40)</f>
        <v>90.822805169967069</v>
      </c>
      <c r="AS30" s="27">
        <f>SUM(AN30:$AN$40)</f>
        <v>2787.207682693941</v>
      </c>
      <c r="AT30" s="26">
        <f t="shared" si="27"/>
        <v>30.688412205259699</v>
      </c>
      <c r="AU30" s="26">
        <f t="shared" si="28"/>
        <v>12.591417151849443</v>
      </c>
      <c r="AV30" s="29">
        <f>SUM(AL29:AL32)</f>
        <v>34.336490660344154</v>
      </c>
    </row>
    <row r="31" spans="2:48" x14ac:dyDescent="0.35">
      <c r="B31" s="24"/>
      <c r="C31" s="23"/>
      <c r="D31" s="22"/>
      <c r="E31" s="21">
        <f t="shared" si="29"/>
        <v>1.375</v>
      </c>
      <c r="F31" s="20">
        <v>1.4</v>
      </c>
      <c r="G31" s="47">
        <v>482.1</v>
      </c>
      <c r="H31" s="18">
        <f t="shared" si="15"/>
        <v>9.7421492947500319</v>
      </c>
      <c r="I31" s="18">
        <v>19.38</v>
      </c>
      <c r="J31" s="18">
        <v>0.74</v>
      </c>
      <c r="K31" s="18">
        <v>20.52</v>
      </c>
      <c r="L31" s="18">
        <v>0.59</v>
      </c>
      <c r="M31" s="17">
        <v>2</v>
      </c>
      <c r="N31" s="16">
        <f t="shared" si="16"/>
        <v>0.7142857142857143</v>
      </c>
      <c r="O31" s="14"/>
      <c r="P31" s="14">
        <v>35</v>
      </c>
      <c r="Q31" s="20">
        <v>1.4</v>
      </c>
      <c r="R31" s="26">
        <f t="shared" si="17"/>
        <v>9.7421492947500319</v>
      </c>
      <c r="S31" s="26">
        <f t="shared" si="18"/>
        <v>19.524481160588351</v>
      </c>
      <c r="T31" s="28">
        <f t="shared" si="19"/>
        <v>190.21041036898609</v>
      </c>
      <c r="U31" s="28">
        <f>SUM($R$27:R31)</f>
        <v>31.471527300650692</v>
      </c>
      <c r="V31" s="28">
        <f>SUM($T$27:T31)</f>
        <v>535.39451486873691</v>
      </c>
      <c r="W31" s="28">
        <f t="shared" si="20"/>
        <v>17.012028356744775</v>
      </c>
      <c r="X31" s="28">
        <f>SUM(R31:$R$40)</f>
        <v>78.270621994099344</v>
      </c>
      <c r="Y31" s="27">
        <f>SUM(T31:$T$40)</f>
        <v>2544.2121538347728</v>
      </c>
      <c r="Z31" s="26">
        <f t="shared" si="21"/>
        <v>32.505326890420974</v>
      </c>
      <c r="AA31" s="26">
        <f t="shared" si="22"/>
        <v>26.600452653275674</v>
      </c>
      <c r="AB31" s="29">
        <f>SUM(R30:R33)</f>
        <v>46.306025946732412</v>
      </c>
      <c r="AJ31" s="14">
        <v>35</v>
      </c>
      <c r="AK31" s="20">
        <v>1.4</v>
      </c>
      <c r="AL31" s="26">
        <f t="shared" si="23"/>
        <v>8.3364252510213799</v>
      </c>
      <c r="AM31" s="26">
        <f t="shared" si="24"/>
        <v>19.470737272468497</v>
      </c>
      <c r="AN31" s="28">
        <f t="shared" si="25"/>
        <v>162.31634585420952</v>
      </c>
      <c r="AO31" s="28">
        <f>SUM($AL$27:AL31)</f>
        <v>24.342064724687333</v>
      </c>
      <c r="AP31" s="28">
        <f>SUM($AN$27:AN31)</f>
        <v>411.96708621030541</v>
      </c>
      <c r="AQ31" s="28">
        <f t="shared" si="26"/>
        <v>16.924081456101586</v>
      </c>
      <c r="AR31" s="28">
        <f>SUM(AL31:$AL$40)</f>
        <v>83.994360526334049</v>
      </c>
      <c r="AS31" s="27">
        <f>SUM(AN31:$AN$40)</f>
        <v>2668.3590652217904</v>
      </c>
      <c r="AT31" s="26">
        <f t="shared" si="27"/>
        <v>31.768312164067279</v>
      </c>
      <c r="AU31" s="26">
        <f t="shared" si="28"/>
        <v>20.173852099176642</v>
      </c>
      <c r="AV31" s="29">
        <f>SUM(AL30:AL33)</f>
        <v>42.324912125747773</v>
      </c>
    </row>
    <row r="32" spans="2:48" x14ac:dyDescent="0.35">
      <c r="B32" s="24"/>
      <c r="C32" s="23"/>
      <c r="D32" s="22"/>
      <c r="E32" s="21">
        <f t="shared" si="29"/>
        <v>1.4</v>
      </c>
      <c r="F32" s="20">
        <v>1.425</v>
      </c>
      <c r="G32" s="47">
        <v>640</v>
      </c>
      <c r="H32" s="18">
        <f t="shared" si="15"/>
        <v>12.932950733540801</v>
      </c>
      <c r="I32" s="18">
        <v>21.91</v>
      </c>
      <c r="J32" s="18">
        <v>0.96</v>
      </c>
      <c r="K32" s="18">
        <v>20.11</v>
      </c>
      <c r="L32" s="18">
        <v>0.61</v>
      </c>
      <c r="M32" s="17">
        <v>2</v>
      </c>
      <c r="N32" s="16">
        <f t="shared" si="16"/>
        <v>0.70175438596491224</v>
      </c>
      <c r="O32" s="14"/>
      <c r="P32" s="14">
        <v>42</v>
      </c>
      <c r="Q32" s="20">
        <v>1.425</v>
      </c>
      <c r="R32" s="26">
        <f t="shared" si="17"/>
        <v>12.932950733540801</v>
      </c>
      <c r="S32" s="26">
        <f t="shared" si="18"/>
        <v>22.122374798061387</v>
      </c>
      <c r="T32" s="28">
        <f t="shared" si="19"/>
        <v>286.10758337225252</v>
      </c>
      <c r="U32" s="28">
        <f>SUM($R$27:R32)</f>
        <v>44.404478034191492</v>
      </c>
      <c r="V32" s="28">
        <f>SUM($T$27:T32)</f>
        <v>821.50209824098943</v>
      </c>
      <c r="W32" s="28">
        <f t="shared" si="20"/>
        <v>18.500433618619095</v>
      </c>
      <c r="X32" s="28">
        <f>SUM(R32:$R$40)</f>
        <v>68.528472699349322</v>
      </c>
      <c r="Y32" s="27">
        <f>SUM(T32:$T$40)</f>
        <v>2354.0017434657866</v>
      </c>
      <c r="Z32" s="26">
        <f t="shared" si="21"/>
        <v>34.350710744617807</v>
      </c>
      <c r="AA32" s="26">
        <f t="shared" si="22"/>
        <v>37.938002667421088</v>
      </c>
      <c r="AB32" s="29">
        <f>SUM(R31:R34)</f>
        <v>49.52915976235704</v>
      </c>
      <c r="AJ32" s="14">
        <v>42</v>
      </c>
      <c r="AK32" s="20">
        <v>1.425</v>
      </c>
      <c r="AL32" s="26">
        <f t="shared" si="23"/>
        <v>14.519390018604538</v>
      </c>
      <c r="AM32" s="26">
        <f t="shared" si="24"/>
        <v>21.12380793661136</v>
      </c>
      <c r="AN32" s="28">
        <f t="shared" si="25"/>
        <v>306.70480610975432</v>
      </c>
      <c r="AO32" s="28">
        <f>SUM($AL$27:AL32)</f>
        <v>38.861454743291873</v>
      </c>
      <c r="AP32" s="28">
        <f>SUM($AN$27:AN32)</f>
        <v>718.67189232005967</v>
      </c>
      <c r="AQ32" s="28">
        <f t="shared" si="26"/>
        <v>18.493180378022629</v>
      </c>
      <c r="AR32" s="28">
        <f>SUM(AL32:$AL$40)</f>
        <v>75.657935275312667</v>
      </c>
      <c r="AS32" s="27">
        <f>SUM(AN32:$AN$40)</f>
        <v>2506.042719367581</v>
      </c>
      <c r="AT32" s="26">
        <f t="shared" si="27"/>
        <v>33.123329499388383</v>
      </c>
      <c r="AU32" s="26">
        <f t="shared" si="28"/>
        <v>31.601759733989603</v>
      </c>
      <c r="AV32" s="29">
        <f>SUM(AL31:AL34)</f>
        <v>53.673722602760492</v>
      </c>
    </row>
    <row r="33" spans="2:48" x14ac:dyDescent="0.35">
      <c r="B33" s="24"/>
      <c r="C33" s="23"/>
      <c r="D33" s="22"/>
      <c r="E33" s="21">
        <f t="shared" si="29"/>
        <v>1.425</v>
      </c>
      <c r="F33" s="20">
        <v>1.45</v>
      </c>
      <c r="G33" s="47">
        <v>669.3</v>
      </c>
      <c r="H33" s="18">
        <f t="shared" si="15"/>
        <v>13.525037384310714</v>
      </c>
      <c r="I33" s="18">
        <v>21.99</v>
      </c>
      <c r="J33" s="18">
        <v>0.7</v>
      </c>
      <c r="K33" s="18">
        <v>19.43</v>
      </c>
      <c r="L33" s="18">
        <v>0.56999999999999995</v>
      </c>
      <c r="M33" s="17">
        <v>1</v>
      </c>
      <c r="N33" s="16">
        <f t="shared" si="16"/>
        <v>0.68965517241379315</v>
      </c>
      <c r="O33" s="14"/>
      <c r="P33" s="14">
        <v>49</v>
      </c>
      <c r="Q33" s="20">
        <v>1.45</v>
      </c>
      <c r="R33" s="26">
        <f t="shared" si="17"/>
        <v>13.525037384310714</v>
      </c>
      <c r="S33" s="26">
        <f t="shared" si="18"/>
        <v>22.145015105740182</v>
      </c>
      <c r="T33" s="28">
        <f t="shared" si="19"/>
        <v>299.51215718126144</v>
      </c>
      <c r="U33" s="28">
        <f>SUM($R$27:R33)</f>
        <v>57.929515418502206</v>
      </c>
      <c r="V33" s="28">
        <f>SUM($T$27:T33)</f>
        <v>1121.0142554222509</v>
      </c>
      <c r="W33" s="28">
        <f t="shared" si="20"/>
        <v>19.351348743790947</v>
      </c>
      <c r="X33" s="28">
        <f>SUM(R33:$R$40)</f>
        <v>55.595521965808508</v>
      </c>
      <c r="Y33" s="27">
        <f>SUM(T33:$T$40)</f>
        <v>2067.8941600935341</v>
      </c>
      <c r="Z33" s="26">
        <f t="shared" si="21"/>
        <v>37.195336728114505</v>
      </c>
      <c r="AA33" s="26">
        <f t="shared" si="22"/>
        <v>51.166996726346852</v>
      </c>
      <c r="AB33" s="29">
        <f>SUM(R32:R35)</f>
        <v>52.477468374893917</v>
      </c>
      <c r="AJ33" s="14">
        <v>49</v>
      </c>
      <c r="AK33" s="20">
        <v>1.45</v>
      </c>
      <c r="AL33" s="26">
        <f t="shared" si="23"/>
        <v>12.640652212488835</v>
      </c>
      <c r="AM33" s="26">
        <f t="shared" si="24"/>
        <v>22.1187873803703</v>
      </c>
      <c r="AN33" s="28">
        <f t="shared" si="25"/>
        <v>279.59589863724796</v>
      </c>
      <c r="AO33" s="28">
        <f>SUM($AL$27:AL33)</f>
        <v>51.502106955780704</v>
      </c>
      <c r="AP33" s="28">
        <f>SUM($AN$27:AN33)</f>
        <v>998.26779095730762</v>
      </c>
      <c r="AQ33" s="28">
        <f t="shared" si="26"/>
        <v>19.383047606468068</v>
      </c>
      <c r="AR33" s="28">
        <f>SUM(AL33:$AL$40)</f>
        <v>61.138545256708127</v>
      </c>
      <c r="AS33" s="27">
        <f>SUM(AN33:$AN$40)</f>
        <v>2199.3379132578266</v>
      </c>
      <c r="AT33" s="26">
        <f t="shared" si="27"/>
        <v>35.97301676091999</v>
      </c>
      <c r="AU33" s="26">
        <f t="shared" si="28"/>
        <v>45.181780849536288</v>
      </c>
      <c r="AV33" s="29">
        <f>SUM(AL32:AL35)</f>
        <v>60.86772331009287</v>
      </c>
    </row>
    <row r="34" spans="2:48" x14ac:dyDescent="0.35">
      <c r="B34" s="24"/>
      <c r="C34" s="23"/>
      <c r="D34" s="22"/>
      <c r="E34" s="21">
        <f t="shared" si="29"/>
        <v>1.45</v>
      </c>
      <c r="F34" s="20">
        <v>1.5</v>
      </c>
      <c r="G34" s="47">
        <v>659.6</v>
      </c>
      <c r="H34" s="18">
        <f t="shared" si="15"/>
        <v>13.329022349755487</v>
      </c>
      <c r="I34" s="18">
        <v>25.97</v>
      </c>
      <c r="J34" s="18">
        <v>0.97</v>
      </c>
      <c r="K34" s="18">
        <v>18.920000000000002</v>
      </c>
      <c r="L34" s="18">
        <v>0.73</v>
      </c>
      <c r="M34" s="17">
        <v>1</v>
      </c>
      <c r="N34" s="16">
        <f t="shared" si="16"/>
        <v>0.66666666666666663</v>
      </c>
      <c r="O34" s="14"/>
      <c r="P34" s="14">
        <v>56</v>
      </c>
      <c r="Q34" s="20">
        <v>1.5</v>
      </c>
      <c r="R34" s="26">
        <f t="shared" si="17"/>
        <v>13.329022349755487</v>
      </c>
      <c r="S34" s="26">
        <f t="shared" si="18"/>
        <v>26.22437645158033</v>
      </c>
      <c r="T34" s="28">
        <f t="shared" si="19"/>
        <v>349.54529983151571</v>
      </c>
      <c r="U34" s="28">
        <f>SUM($R$27:R34)</f>
        <v>71.258537768257696</v>
      </c>
      <c r="V34" s="28">
        <f>SUM($T$27:T34)</f>
        <v>1470.5595552537666</v>
      </c>
      <c r="W34" s="28">
        <f t="shared" si="20"/>
        <v>20.636959462124008</v>
      </c>
      <c r="X34" s="28">
        <f>SUM(R34:$R$40)</f>
        <v>42.070484581497801</v>
      </c>
      <c r="Y34" s="27">
        <f>SUM(T34:$T$40)</f>
        <v>1768.3820029122726</v>
      </c>
      <c r="Z34" s="26">
        <f t="shared" si="21"/>
        <v>42.033792111108461</v>
      </c>
      <c r="AA34" s="26">
        <f t="shared" si="22"/>
        <v>64.594026593379951</v>
      </c>
      <c r="AB34" s="29"/>
      <c r="AJ34" s="14">
        <v>56</v>
      </c>
      <c r="AK34" s="20">
        <v>1.5</v>
      </c>
      <c r="AL34" s="26">
        <f t="shared" si="23"/>
        <v>18.177255120645736</v>
      </c>
      <c r="AM34" s="26">
        <f t="shared" si="24"/>
        <v>25.54272738025151</v>
      </c>
      <c r="AN34" s="28">
        <f t="shared" si="25"/>
        <v>464.29667206793476</v>
      </c>
      <c r="AO34" s="28">
        <f>SUM($AL$27:AL34)</f>
        <v>69.679362076426443</v>
      </c>
      <c r="AP34" s="28">
        <f>SUM($AN$27:AN34)</f>
        <v>1462.5644630252423</v>
      </c>
      <c r="AQ34" s="28">
        <f t="shared" si="26"/>
        <v>20.989923263376852</v>
      </c>
      <c r="AR34" s="28">
        <f>SUM(AL34:$AL$40)</f>
        <v>48.497893044219296</v>
      </c>
      <c r="AS34" s="27">
        <f>SUM(AN34:$AN$40)</f>
        <v>1919.7420146205784</v>
      </c>
      <c r="AT34" s="26">
        <f t="shared" si="27"/>
        <v>39.584029204530609</v>
      </c>
      <c r="AU34" s="26">
        <f t="shared" si="28"/>
        <v>60.590734516103574</v>
      </c>
      <c r="AV34" s="29"/>
    </row>
    <row r="35" spans="2:48" x14ac:dyDescent="0.35">
      <c r="B35" s="24"/>
      <c r="C35" s="23"/>
      <c r="D35" s="22"/>
      <c r="E35" s="21">
        <f t="shared" si="29"/>
        <v>1.5</v>
      </c>
      <c r="F35" s="20">
        <v>1.6</v>
      </c>
      <c r="G35" s="47">
        <v>628</v>
      </c>
      <c r="H35" s="18">
        <f t="shared" si="15"/>
        <v>12.690457907286913</v>
      </c>
      <c r="I35" s="18">
        <v>31.69</v>
      </c>
      <c r="J35" s="18">
        <v>0.72</v>
      </c>
      <c r="K35" s="18">
        <v>18.25</v>
      </c>
      <c r="L35" s="18">
        <v>0.57999999999999996</v>
      </c>
      <c r="M35" s="17">
        <v>0.5</v>
      </c>
      <c r="N35" s="16">
        <f t="shared" si="16"/>
        <v>0.625</v>
      </c>
      <c r="O35" s="14"/>
      <c r="P35" s="14">
        <v>63</v>
      </c>
      <c r="Q35" s="20">
        <v>1.6</v>
      </c>
      <c r="R35" s="26">
        <f t="shared" si="17"/>
        <v>12.690457907286913</v>
      </c>
      <c r="S35" s="26">
        <f t="shared" si="18"/>
        <v>31.919822723609993</v>
      </c>
      <c r="T35" s="28">
        <f t="shared" si="19"/>
        <v>405.0771666820329</v>
      </c>
      <c r="U35" s="28">
        <f>SUM($R$27:R35)</f>
        <v>83.948995675544609</v>
      </c>
      <c r="V35" s="28">
        <f>SUM($T$27:T35)</f>
        <v>1875.6367219357994</v>
      </c>
      <c r="W35" s="28">
        <f t="shared" si="20"/>
        <v>22.34257487945381</v>
      </c>
      <c r="X35" s="28">
        <f>SUM(R35:$R$40)</f>
        <v>28.741462231742318</v>
      </c>
      <c r="Y35" s="27">
        <f>SUM(T35:$T$40)</f>
        <v>1418.8367030807569</v>
      </c>
      <c r="Z35" s="26">
        <f t="shared" si="21"/>
        <v>49.365501714585051</v>
      </c>
      <c r="AA35" s="26">
        <f t="shared" si="22"/>
        <v>77.603766721901152</v>
      </c>
      <c r="AB35" s="29">
        <f>SUM(R34:R36)</f>
        <v>29.436608333670133</v>
      </c>
      <c r="AJ35" s="14">
        <v>63</v>
      </c>
      <c r="AK35" s="20">
        <v>1.6</v>
      </c>
      <c r="AL35" s="26">
        <f t="shared" si="23"/>
        <v>15.530425958353764</v>
      </c>
      <c r="AM35" s="26">
        <f t="shared" si="24"/>
        <v>32.140141730557168</v>
      </c>
      <c r="AN35" s="28">
        <f t="shared" si="25"/>
        <v>499.15009143741412</v>
      </c>
      <c r="AO35" s="28">
        <f>SUM($AL$27:AL35)</f>
        <v>85.209788034780203</v>
      </c>
      <c r="AP35" s="28">
        <f>SUM($AN$27:AN35)</f>
        <v>1961.7145544626565</v>
      </c>
      <c r="AQ35" s="28">
        <f t="shared" si="26"/>
        <v>23.022173857091872</v>
      </c>
      <c r="AR35" s="28">
        <f>SUM(AL35:$AL$40)</f>
        <v>30.320637923573564</v>
      </c>
      <c r="AS35" s="27">
        <f>SUM(AN35:$AN$40)</f>
        <v>1455.4453425526438</v>
      </c>
      <c r="AT35" s="26">
        <f t="shared" si="27"/>
        <v>48.001804784623943</v>
      </c>
      <c r="AU35" s="26">
        <f t="shared" si="28"/>
        <v>77.444575055603323</v>
      </c>
      <c r="AV35" s="29">
        <f>SUM(AL34:AL36)</f>
        <v>37.253562840511499</v>
      </c>
    </row>
    <row r="36" spans="2:48" x14ac:dyDescent="0.35">
      <c r="B36" s="24"/>
      <c r="C36" s="23"/>
      <c r="D36" s="22"/>
      <c r="E36" s="21">
        <f t="shared" si="29"/>
        <v>1.6</v>
      </c>
      <c r="F36" s="20">
        <v>1.7</v>
      </c>
      <c r="G36" s="47">
        <v>169.1</v>
      </c>
      <c r="H36" s="18">
        <f t="shared" si="15"/>
        <v>3.417128076627733</v>
      </c>
      <c r="I36" s="18">
        <v>40.29</v>
      </c>
      <c r="J36" s="18">
        <v>0.93</v>
      </c>
      <c r="K36" s="18">
        <v>16.71</v>
      </c>
      <c r="L36" s="18">
        <v>0.61</v>
      </c>
      <c r="M36" s="17">
        <v>0.5</v>
      </c>
      <c r="N36" s="16">
        <f t="shared" si="16"/>
        <v>0.58823529411764708</v>
      </c>
      <c r="O36" s="14"/>
      <c r="P36" s="14">
        <v>70</v>
      </c>
      <c r="Q36" s="20">
        <v>1.7</v>
      </c>
      <c r="R36" s="26">
        <f t="shared" si="17"/>
        <v>3.417128076627733</v>
      </c>
      <c r="S36" s="26">
        <f t="shared" si="18"/>
        <v>40.668214393862925</v>
      </c>
      <c r="T36" s="28">
        <f t="shared" si="19"/>
        <v>138.9684972315851</v>
      </c>
      <c r="U36" s="28">
        <f>SUM($R$27:R36)</f>
        <v>87.366123752172342</v>
      </c>
      <c r="V36" s="28">
        <f>SUM($T$27:T36)</f>
        <v>2014.6052191673846</v>
      </c>
      <c r="W36" s="28">
        <f t="shared" si="20"/>
        <v>23.059340767848727</v>
      </c>
      <c r="X36" s="28">
        <f>SUM(R36:$R$40)</f>
        <v>16.051004324455402</v>
      </c>
      <c r="Y36" s="27">
        <f>SUM(T36:$T$40)</f>
        <v>1013.7595363987241</v>
      </c>
      <c r="Z36" s="26">
        <f t="shared" si="21"/>
        <v>63.158635802879594</v>
      </c>
      <c r="AA36" s="26">
        <f t="shared" si="22"/>
        <v>85.657559713858475</v>
      </c>
      <c r="AB36" s="29">
        <f>SUM(R36:R37)</f>
        <v>5.4742755526815667</v>
      </c>
      <c r="AJ36" s="14">
        <v>70</v>
      </c>
      <c r="AK36" s="20">
        <v>1.7</v>
      </c>
      <c r="AL36" s="26">
        <f t="shared" si="23"/>
        <v>3.5458817615119997</v>
      </c>
      <c r="AM36" s="26">
        <f t="shared" si="24"/>
        <v>40.437560010074876</v>
      </c>
      <c r="AN36" s="28">
        <f t="shared" si="25"/>
        <v>143.38680651977151</v>
      </c>
      <c r="AO36" s="28">
        <f>SUM($AL$27:AL36)</f>
        <v>88.75566979629221</v>
      </c>
      <c r="AP36" s="28">
        <f>SUM($AN$27:AN36)</f>
        <v>2105.1013609824281</v>
      </c>
      <c r="AQ36" s="28">
        <f t="shared" si="26"/>
        <v>23.717936733663961</v>
      </c>
      <c r="AR36" s="28">
        <f>SUM(AL36:$AL$40)</f>
        <v>14.7902119652198</v>
      </c>
      <c r="AS36" s="27">
        <f>SUM(AN36:$AN$40)</f>
        <v>956.2952511152298</v>
      </c>
      <c r="AT36" s="26">
        <f t="shared" si="27"/>
        <v>64.657305342480811</v>
      </c>
      <c r="AU36" s="26">
        <f t="shared" si="28"/>
        <v>86.982728915536214</v>
      </c>
      <c r="AV36" s="29">
        <f>SUM(AL36:AL37)</f>
        <v>5.0340472030307319</v>
      </c>
    </row>
    <row r="37" spans="2:48" x14ac:dyDescent="0.35">
      <c r="B37" s="24"/>
      <c r="C37" s="23"/>
      <c r="D37" s="22"/>
      <c r="E37" s="21">
        <f t="shared" si="29"/>
        <v>1.7</v>
      </c>
      <c r="F37" s="20">
        <v>1.8</v>
      </c>
      <c r="G37" s="47">
        <v>101.8</v>
      </c>
      <c r="H37" s="18">
        <f t="shared" si="15"/>
        <v>2.0571474760538337</v>
      </c>
      <c r="I37" s="18">
        <v>48.79</v>
      </c>
      <c r="J37" s="18">
        <v>0.96</v>
      </c>
      <c r="K37" s="18">
        <v>15.5</v>
      </c>
      <c r="L37" s="18">
        <v>0.73</v>
      </c>
      <c r="M37" s="17">
        <v>0.5</v>
      </c>
      <c r="N37" s="16">
        <f t="shared" si="16"/>
        <v>0.55555555555555558</v>
      </c>
      <c r="O37" s="14"/>
      <c r="P37" s="14">
        <v>77</v>
      </c>
      <c r="Q37" s="20">
        <v>1.8</v>
      </c>
      <c r="R37" s="26">
        <f t="shared" si="17"/>
        <v>2.0571474760538337</v>
      </c>
      <c r="S37" s="26">
        <f t="shared" si="18"/>
        <v>49.262924071082388</v>
      </c>
      <c r="T37" s="28">
        <f t="shared" si="19"/>
        <v>101.34109991585879</v>
      </c>
      <c r="U37" s="28">
        <f>SUM($R$27:R37)</f>
        <v>89.42327122822617</v>
      </c>
      <c r="V37" s="28">
        <f>SUM($T$27:T37)</f>
        <v>2115.9463190832435</v>
      </c>
      <c r="W37" s="28">
        <f t="shared" si="20"/>
        <v>23.662143981323641</v>
      </c>
      <c r="X37" s="28">
        <f>SUM(R37:$R$40)</f>
        <v>12.63387624782767</v>
      </c>
      <c r="Y37" s="27">
        <f>SUM(T37:$T$40)</f>
        <v>874.79103916713893</v>
      </c>
      <c r="Z37" s="26">
        <f t="shared" si="21"/>
        <v>69.241697639515408</v>
      </c>
      <c r="AA37" s="26">
        <f t="shared" si="22"/>
        <v>88.394697490199249</v>
      </c>
      <c r="AB37" s="29">
        <f>SUM(R37:R38)</f>
        <v>4.3386008163925158</v>
      </c>
      <c r="AJ37" s="14">
        <v>77</v>
      </c>
      <c r="AK37" s="20">
        <v>1.8</v>
      </c>
      <c r="AL37" s="26">
        <f t="shared" si="23"/>
        <v>1.4881654415187324</v>
      </c>
      <c r="AM37" s="26">
        <f t="shared" si="24"/>
        <v>48.371754148947268</v>
      </c>
      <c r="AN37" s="28">
        <f t="shared" si="25"/>
        <v>71.985172870103682</v>
      </c>
      <c r="AO37" s="28">
        <f>SUM($AL$27:AL37)</f>
        <v>90.243835237810941</v>
      </c>
      <c r="AP37" s="28">
        <f>SUM($AN$27:AN37)</f>
        <v>2177.0865338525318</v>
      </c>
      <c r="AQ37" s="28">
        <f t="shared" si="26"/>
        <v>24.124490366743213</v>
      </c>
      <c r="AR37" s="28">
        <f>SUM(AL37:$AL$40)</f>
        <v>11.244330203707801</v>
      </c>
      <c r="AS37" s="27">
        <f>SUM(AN37:$AN$40)</f>
        <v>812.90844459545815</v>
      </c>
      <c r="AT37" s="26">
        <f t="shared" si="27"/>
        <v>72.294963761149845</v>
      </c>
      <c r="AU37" s="26">
        <f t="shared" si="28"/>
        <v>89.499752517051576</v>
      </c>
      <c r="AV37" s="29">
        <f>SUM(AL37:AL38)</f>
        <v>3.0921142339250633</v>
      </c>
    </row>
    <row r="38" spans="2:48" x14ac:dyDescent="0.35">
      <c r="B38" s="24"/>
      <c r="C38" s="23"/>
      <c r="D38" s="22"/>
      <c r="E38" s="21">
        <f t="shared" si="29"/>
        <v>1.8</v>
      </c>
      <c r="F38" s="20">
        <v>2</v>
      </c>
      <c r="G38" s="47">
        <v>112.9</v>
      </c>
      <c r="H38" s="18">
        <f t="shared" si="15"/>
        <v>2.2814533403386816</v>
      </c>
      <c r="I38" s="18">
        <v>59.97</v>
      </c>
      <c r="J38" s="18">
        <v>1.23</v>
      </c>
      <c r="K38" s="18">
        <v>13.39</v>
      </c>
      <c r="L38" s="18">
        <v>0.86</v>
      </c>
      <c r="M38" s="17">
        <v>0</v>
      </c>
      <c r="N38" s="16">
        <f t="shared" si="16"/>
        <v>0.5</v>
      </c>
      <c r="O38" s="50"/>
      <c r="P38" s="14">
        <v>84</v>
      </c>
      <c r="Q38" s="20">
        <v>2</v>
      </c>
      <c r="R38" s="26">
        <f t="shared" si="17"/>
        <v>2.2814533403386816</v>
      </c>
      <c r="S38" s="26">
        <f t="shared" si="18"/>
        <v>60.716816847220819</v>
      </c>
      <c r="T38" s="28">
        <f t="shared" si="19"/>
        <v>138.52258461082388</v>
      </c>
      <c r="U38" s="28">
        <f>SUM($R$27:R38)</f>
        <v>91.704724568564856</v>
      </c>
      <c r="V38" s="28">
        <f>SUM($T$27:T38)</f>
        <v>2254.4689036940672</v>
      </c>
      <c r="W38" s="28">
        <f t="shared" si="20"/>
        <v>24.583999508209295</v>
      </c>
      <c r="X38" s="28">
        <f>SUM(R38:$R$40)</f>
        <v>10.576728771773837</v>
      </c>
      <c r="Y38" s="27">
        <f>SUM(T38:$T$40)</f>
        <v>773.44993925128006</v>
      </c>
      <c r="Z38" s="26">
        <f t="shared" si="21"/>
        <v>73.127519476096367</v>
      </c>
      <c r="AA38" s="26">
        <f t="shared" si="22"/>
        <v>90.563997898395513</v>
      </c>
      <c r="AB38" s="25"/>
      <c r="AJ38" s="14">
        <v>84</v>
      </c>
      <c r="AK38" s="20">
        <v>2</v>
      </c>
      <c r="AL38" s="26">
        <f t="shared" si="23"/>
        <v>1.6039487924063309</v>
      </c>
      <c r="AM38" s="26">
        <f t="shared" si="24"/>
        <v>61.164999902270495</v>
      </c>
      <c r="AN38" s="28">
        <f t="shared" si="25"/>
        <v>98.105527730780111</v>
      </c>
      <c r="AO38" s="28">
        <f>SUM($AL$27:AL38)</f>
        <v>91.847784030217269</v>
      </c>
      <c r="AP38" s="28">
        <f>SUM($AN$27:AN38)</f>
        <v>2275.1920615833119</v>
      </c>
      <c r="AQ38" s="28">
        <f t="shared" si="26"/>
        <v>24.771333196615718</v>
      </c>
      <c r="AR38" s="28">
        <f>SUM(AL38:$AL$40)</f>
        <v>9.7561647621890657</v>
      </c>
      <c r="AS38" s="27">
        <f>SUM(AN38:$AN$40)</f>
        <v>740.92327172535454</v>
      </c>
      <c r="AT38" s="26">
        <f t="shared" si="27"/>
        <v>75.944112239357864</v>
      </c>
      <c r="AU38" s="26">
        <f t="shared" si="28"/>
        <v>91.045809634014105</v>
      </c>
      <c r="AV38" s="25"/>
    </row>
    <row r="39" spans="2:48" x14ac:dyDescent="0.35">
      <c r="B39" s="24"/>
      <c r="C39" s="23"/>
      <c r="D39" s="22"/>
      <c r="E39" s="21">
        <f t="shared" si="29"/>
        <v>2</v>
      </c>
      <c r="F39" s="20">
        <v>2.2000000000000002</v>
      </c>
      <c r="G39" s="47">
        <v>94</v>
      </c>
      <c r="H39" s="18">
        <f t="shared" si="15"/>
        <v>1.8995271389888051</v>
      </c>
      <c r="I39" s="18">
        <v>68.92</v>
      </c>
      <c r="J39" s="18">
        <v>1.19</v>
      </c>
      <c r="K39" s="18">
        <v>11.67</v>
      </c>
      <c r="L39" s="18">
        <v>0.77</v>
      </c>
      <c r="M39" s="17">
        <v>0</v>
      </c>
      <c r="N39" s="16">
        <f t="shared" si="16"/>
        <v>0.45454545454545453</v>
      </c>
      <c r="O39" s="50"/>
      <c r="P39" s="14">
        <v>91</v>
      </c>
      <c r="Q39" s="20">
        <v>2.2000000000000002</v>
      </c>
      <c r="R39" s="26">
        <f t="shared" si="17"/>
        <v>1.8995271389888051</v>
      </c>
      <c r="S39" s="26">
        <f t="shared" si="18"/>
        <v>69.750025301082886</v>
      </c>
      <c r="T39" s="28">
        <f t="shared" si="19"/>
        <v>132.49206600456273</v>
      </c>
      <c r="U39" s="28">
        <f>SUM($R$27:R39)</f>
        <v>93.604251707553658</v>
      </c>
      <c r="V39" s="28">
        <f>SUM($T$27:T39)</f>
        <v>2386.9609696986299</v>
      </c>
      <c r="W39" s="28">
        <f t="shared" si="20"/>
        <v>25.500561418472483</v>
      </c>
      <c r="X39" s="28">
        <f>SUM(R39:$R$40)</f>
        <v>8.2952754314351544</v>
      </c>
      <c r="Y39" s="27">
        <f>SUM(T39:$T$40)</f>
        <v>634.92735464045631</v>
      </c>
      <c r="Z39" s="26">
        <f t="shared" si="21"/>
        <v>76.540840613246331</v>
      </c>
      <c r="AA39" s="26">
        <f t="shared" si="22"/>
        <v>92.65448813805925</v>
      </c>
      <c r="AB39" s="25"/>
      <c r="AJ39" s="14">
        <v>91</v>
      </c>
      <c r="AK39" s="20">
        <v>2.2000000000000002</v>
      </c>
      <c r="AL39" s="26">
        <f t="shared" si="23"/>
        <v>2.1020912555234395</v>
      </c>
      <c r="AM39" s="26">
        <f t="shared" si="24"/>
        <v>72.573901040762394</v>
      </c>
      <c r="AN39" s="28">
        <f t="shared" si="25"/>
        <v>152.55696275701007</v>
      </c>
      <c r="AO39" s="28">
        <f>SUM($AL$27:AL39)</f>
        <v>93.949875285740703</v>
      </c>
      <c r="AP39" s="28">
        <f>SUM($AN$27:AN39)</f>
        <v>2427.7490243403217</v>
      </c>
      <c r="AQ39" s="28">
        <f t="shared" si="26"/>
        <v>25.840896722390806</v>
      </c>
      <c r="AR39" s="28">
        <f>SUM(AL39:$AL$40)</f>
        <v>8.1522159697827359</v>
      </c>
      <c r="AS39" s="27">
        <f>SUM(AN39:$AN$40)</f>
        <v>642.81774399457436</v>
      </c>
      <c r="AT39" s="26">
        <f t="shared" si="27"/>
        <v>78.851903136185683</v>
      </c>
      <c r="AU39" s="26">
        <f t="shared" si="28"/>
        <v>92.898829657978979</v>
      </c>
      <c r="AV39" s="25"/>
    </row>
    <row r="40" spans="2:48" x14ac:dyDescent="0.35">
      <c r="B40" s="24"/>
      <c r="C40" s="23"/>
      <c r="D40" s="22"/>
      <c r="E40" s="21">
        <f t="shared" si="29"/>
        <v>2.2000000000000002</v>
      </c>
      <c r="F40" s="20">
        <v>2.8</v>
      </c>
      <c r="G40" s="47">
        <v>316.5</v>
      </c>
      <c r="H40" s="18">
        <f t="shared" si="15"/>
        <v>6.3957482924463491</v>
      </c>
      <c r="I40" s="18">
        <v>77.67</v>
      </c>
      <c r="J40" s="18">
        <v>1.1299999999999999</v>
      </c>
      <c r="K40" s="18">
        <v>11.21</v>
      </c>
      <c r="L40" s="18">
        <v>0.95</v>
      </c>
      <c r="M40" s="17">
        <v>0</v>
      </c>
      <c r="N40" s="16">
        <f t="shared" si="16"/>
        <v>0.35714285714285715</v>
      </c>
      <c r="O40" s="50"/>
      <c r="P40" s="14">
        <v>98</v>
      </c>
      <c r="Q40" s="13">
        <v>2.8</v>
      </c>
      <c r="R40" s="10">
        <f t="shared" si="17"/>
        <v>6.3957482924463491</v>
      </c>
      <c r="S40" s="10">
        <f t="shared" si="18"/>
        <v>78.557702032972585</v>
      </c>
      <c r="T40" s="12">
        <f t="shared" si="19"/>
        <v>502.43528863589353</v>
      </c>
      <c r="U40" s="12">
        <f>SUM($R$27:R40)</f>
        <v>100</v>
      </c>
      <c r="V40" s="12">
        <f>SUM($T$27:T40)</f>
        <v>2889.3962583345233</v>
      </c>
      <c r="W40" s="12">
        <f t="shared" si="20"/>
        <v>28.893962583345232</v>
      </c>
      <c r="X40" s="12">
        <f>SUM(R40:$R$40)</f>
        <v>6.3957482924463491</v>
      </c>
      <c r="Y40" s="11">
        <f>SUM(T40:$T$40)</f>
        <v>502.43528863589353</v>
      </c>
      <c r="Z40" s="10">
        <f t="shared" si="21"/>
        <v>78.557702032972585</v>
      </c>
      <c r="AA40" s="10">
        <f t="shared" si="22"/>
        <v>96.802125853776829</v>
      </c>
      <c r="AB40" s="9"/>
      <c r="AJ40" s="14">
        <v>98</v>
      </c>
      <c r="AK40" s="13">
        <v>2.8</v>
      </c>
      <c r="AL40" s="10">
        <f t="shared" si="23"/>
        <v>6.0501247142592964</v>
      </c>
      <c r="AM40" s="10">
        <f t="shared" si="24"/>
        <v>81.033169462125031</v>
      </c>
      <c r="AN40" s="12">
        <f t="shared" si="25"/>
        <v>490.26078123756434</v>
      </c>
      <c r="AO40" s="12">
        <f>SUM($AL$27:AL40)</f>
        <v>100</v>
      </c>
      <c r="AP40" s="12">
        <f>SUM($AN$27:AN40)</f>
        <v>2918.0098055778863</v>
      </c>
      <c r="AQ40" s="12">
        <f t="shared" si="26"/>
        <v>29.180098055778863</v>
      </c>
      <c r="AR40" s="12">
        <f>SUM(AL40:$AL$40)</f>
        <v>6.0501247142592964</v>
      </c>
      <c r="AS40" s="11">
        <f>SUM(AN40:$AN$40)</f>
        <v>490.26078123756434</v>
      </c>
      <c r="AT40" s="10">
        <f t="shared" si="27"/>
        <v>81.033169462125031</v>
      </c>
      <c r="AU40" s="10">
        <f t="shared" si="28"/>
        <v>96.974937642870358</v>
      </c>
      <c r="AV40" s="9"/>
    </row>
    <row r="41" spans="2:48" x14ac:dyDescent="0.35">
      <c r="B41" s="94" t="s">
        <v>0</v>
      </c>
      <c r="C41" s="95"/>
      <c r="D41" s="95"/>
      <c r="E41" s="8"/>
      <c r="F41" s="7"/>
      <c r="G41" s="6">
        <f>SUM(G27:G40)</f>
        <v>4948.5999999999995</v>
      </c>
      <c r="H41" s="5">
        <f>SUM(H27:H40)</f>
        <v>100</v>
      </c>
      <c r="I41" s="4">
        <f>SUMPRODUCT($H$27:$H$40,I27:I40)/$H$41</f>
        <v>28.630248150992202</v>
      </c>
      <c r="J41" s="4">
        <f>SUMPRODUCT($H$27:$H$40,J27:J40)/$H$41</f>
        <v>0.84866164167643388</v>
      </c>
      <c r="K41" s="4">
        <f>SUMPRODUCT($H$27:$H$40,K27:K40)/$H$41</f>
        <v>19.199732045426991</v>
      </c>
      <c r="L41" s="4">
        <f>SUMPRODUCT($H$27:$H$40,L27:L40)/$H$41</f>
        <v>0.69130541971466697</v>
      </c>
      <c r="M41" s="3">
        <f>SUMPRODUCT($H$27:$H$40,M27:M40)/$H$41</f>
        <v>1.8770864486925598</v>
      </c>
      <c r="N41" s="2"/>
      <c r="O41" s="2"/>
      <c r="P41" s="49"/>
    </row>
    <row r="42" spans="2:48" ht="34.15" customHeight="1" x14ac:dyDescent="0.35">
      <c r="B42" s="46" t="s">
        <v>12</v>
      </c>
      <c r="C42" s="45" t="s">
        <v>11</v>
      </c>
      <c r="D42" s="44">
        <f>[1]Pretreatment!R43+[1]Pretreatment!R44</f>
        <v>33.059548254620118</v>
      </c>
      <c r="E42" s="33"/>
      <c r="F42" s="33"/>
      <c r="G42" s="43"/>
      <c r="H42" s="33"/>
      <c r="I42" s="33"/>
      <c r="J42" s="33"/>
      <c r="K42" s="33"/>
      <c r="L42" s="33"/>
      <c r="M42" s="33"/>
      <c r="N42" s="42" t="s">
        <v>2</v>
      </c>
      <c r="O42" s="42"/>
      <c r="P42" s="41"/>
      <c r="Q42" s="103" t="s">
        <v>10</v>
      </c>
      <c r="R42" s="104"/>
      <c r="S42" s="104"/>
      <c r="T42" s="104"/>
      <c r="U42" s="104"/>
      <c r="V42" s="104"/>
      <c r="W42" s="104"/>
      <c r="X42" s="104"/>
      <c r="Y42" s="104"/>
      <c r="Z42" s="104"/>
      <c r="AA42" s="105"/>
      <c r="AB42" s="48">
        <f>D42</f>
        <v>33.059548254620118</v>
      </c>
      <c r="AK42" s="103" t="s">
        <v>9</v>
      </c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40">
        <f>AB42</f>
        <v>33.059548254620118</v>
      </c>
    </row>
    <row r="43" spans="2:48" x14ac:dyDescent="0.35">
      <c r="B43" s="24"/>
      <c r="C43" s="23"/>
      <c r="D43" s="22"/>
      <c r="E43" s="39">
        <v>1.25</v>
      </c>
      <c r="F43" s="20">
        <v>1.3</v>
      </c>
      <c r="G43" s="19">
        <v>702.5</v>
      </c>
      <c r="H43" s="18">
        <f t="shared" ref="H43:H56" si="30">G43/$G$57*100</f>
        <v>14.19909044972208</v>
      </c>
      <c r="I43" s="18">
        <v>5.95</v>
      </c>
      <c r="J43" s="18">
        <v>0.65</v>
      </c>
      <c r="K43" s="18">
        <v>27.5</v>
      </c>
      <c r="L43" s="18">
        <v>0.63</v>
      </c>
      <c r="M43" s="17">
        <v>8</v>
      </c>
      <c r="N43" s="16">
        <f t="shared" ref="N43:N56" si="31">1/Q43</f>
        <v>0.76923076923076916</v>
      </c>
      <c r="O43" s="15"/>
      <c r="P43" s="14">
        <v>7</v>
      </c>
      <c r="Q43" s="38">
        <v>1.3</v>
      </c>
      <c r="R43" s="35">
        <f t="shared" ref="R43:R56" si="32">H43</f>
        <v>14.19909044972208</v>
      </c>
      <c r="S43" s="35">
        <f t="shared" ref="S43:S56" si="33">I43*100/(100-J43)</f>
        <v>5.988928032209361</v>
      </c>
      <c r="T43" s="37">
        <f t="shared" ref="T43:T56" si="34">R43*S43</f>
        <v>85.037330826216788</v>
      </c>
      <c r="U43" s="37">
        <f>SUM($R$43:R43)</f>
        <v>14.19909044972208</v>
      </c>
      <c r="V43" s="37">
        <f>SUM($T$43:T43)</f>
        <v>85.037330826216788</v>
      </c>
      <c r="W43" s="37">
        <f t="shared" ref="W43:W56" si="35">V43/U43</f>
        <v>5.988928032209361</v>
      </c>
      <c r="X43" s="37">
        <f>SUM(R43:$R$56)</f>
        <v>99.999999999999986</v>
      </c>
      <c r="Y43" s="36">
        <f>SUM(T43:$T$56)</f>
        <v>2524.9240368674959</v>
      </c>
      <c r="Z43" s="35">
        <f t="shared" ref="Z43:Z56" si="36">Y43/X43</f>
        <v>25.249240368674965</v>
      </c>
      <c r="AA43" s="34">
        <f t="shared" ref="AA43:AA56" si="37">U43-R43/2</f>
        <v>7.09954522486104</v>
      </c>
      <c r="AB43" s="33"/>
      <c r="AJ43" s="14">
        <v>7</v>
      </c>
      <c r="AK43" s="38">
        <v>1.3</v>
      </c>
      <c r="AL43" s="35">
        <f t="shared" ref="AL43:AL56" si="38">R43</f>
        <v>14.19909044972208</v>
      </c>
      <c r="AM43" s="35">
        <f t="shared" ref="AM43:AM56" si="39">S43</f>
        <v>5.988928032209361</v>
      </c>
      <c r="AN43" s="37">
        <f t="shared" ref="AN43:AN56" si="40">AL43*AM43</f>
        <v>85.037330826216788</v>
      </c>
      <c r="AO43" s="37">
        <f>SUM($AL$43:AL43)</f>
        <v>14.19909044972208</v>
      </c>
      <c r="AP43" s="37">
        <f>SUM($AN$43:AN43)</f>
        <v>85.037330826216788</v>
      </c>
      <c r="AQ43" s="37">
        <f t="shared" ref="AQ43:AQ56" si="41">AP43/AO43</f>
        <v>5.988928032209361</v>
      </c>
      <c r="AR43" s="37">
        <f>SUM(AL43:$AL$56)</f>
        <v>99.999999999999986</v>
      </c>
      <c r="AS43" s="36">
        <f>SUM(AN43:$AN$56)</f>
        <v>2524.9240368674959</v>
      </c>
      <c r="AT43" s="35">
        <f t="shared" ref="AT43:AT56" si="42">AS43/AR43</f>
        <v>25.249240368674965</v>
      </c>
      <c r="AU43" s="34">
        <f t="shared" ref="AU43:AU56" si="43">AO43-AL43/2</f>
        <v>7.09954522486104</v>
      </c>
      <c r="AV43" s="33"/>
    </row>
    <row r="44" spans="2:48" x14ac:dyDescent="0.35">
      <c r="B44" s="24"/>
      <c r="C44" s="23"/>
      <c r="D44" s="22"/>
      <c r="E44" s="21">
        <f t="shared" ref="E44:E56" si="44">F43</f>
        <v>1.3</v>
      </c>
      <c r="F44" s="20">
        <v>1.325</v>
      </c>
      <c r="G44" s="19">
        <v>225.3</v>
      </c>
      <c r="H44" s="18">
        <f t="shared" si="30"/>
        <v>4.553815058110156</v>
      </c>
      <c r="I44" s="18">
        <v>8.24</v>
      </c>
      <c r="J44" s="18">
        <v>0.5</v>
      </c>
      <c r="K44" s="18">
        <v>26.55</v>
      </c>
      <c r="L44" s="18">
        <v>0.6</v>
      </c>
      <c r="M44" s="17">
        <v>7</v>
      </c>
      <c r="N44" s="16">
        <f t="shared" si="31"/>
        <v>0.75471698113207553</v>
      </c>
      <c r="O44" s="15"/>
      <c r="P44" s="14">
        <v>14</v>
      </c>
      <c r="Q44" s="20">
        <v>1.325</v>
      </c>
      <c r="R44" s="26">
        <f t="shared" si="32"/>
        <v>4.553815058110156</v>
      </c>
      <c r="S44" s="26">
        <f t="shared" si="33"/>
        <v>8.2814070351758797</v>
      </c>
      <c r="T44" s="28">
        <f t="shared" si="34"/>
        <v>37.711996059123301</v>
      </c>
      <c r="U44" s="28">
        <f>SUM($R$43:R44)</f>
        <v>18.752905507832235</v>
      </c>
      <c r="V44" s="28">
        <f>SUM($T$43:T44)</f>
        <v>122.74932688534008</v>
      </c>
      <c r="W44" s="28">
        <f t="shared" si="35"/>
        <v>6.5456164557579237</v>
      </c>
      <c r="X44" s="28">
        <f>SUM(R44:$R$56)</f>
        <v>85.800909550277893</v>
      </c>
      <c r="Y44" s="27">
        <f>SUM(T44:$T$56)</f>
        <v>2439.8867060412795</v>
      </c>
      <c r="Z44" s="26">
        <f t="shared" si="36"/>
        <v>28.436606544497607</v>
      </c>
      <c r="AA44" s="26">
        <f t="shared" si="37"/>
        <v>16.475997978777158</v>
      </c>
      <c r="AB44" s="25"/>
      <c r="AJ44" s="14">
        <v>14</v>
      </c>
      <c r="AK44" s="20">
        <v>1.325</v>
      </c>
      <c r="AL44" s="26">
        <f t="shared" si="38"/>
        <v>4.553815058110156</v>
      </c>
      <c r="AM44" s="26">
        <f t="shared" si="39"/>
        <v>8.2814070351758797</v>
      </c>
      <c r="AN44" s="28">
        <f t="shared" si="40"/>
        <v>37.711996059123301</v>
      </c>
      <c r="AO44" s="28">
        <f>SUM($AL$43:AL44)</f>
        <v>18.752905507832235</v>
      </c>
      <c r="AP44" s="28">
        <f>SUM($AN$43:AN44)</f>
        <v>122.74932688534008</v>
      </c>
      <c r="AQ44" s="28">
        <f t="shared" si="41"/>
        <v>6.5456164557579237</v>
      </c>
      <c r="AR44" s="28">
        <f>SUM(AL44:$AL$56)</f>
        <v>85.800909550277893</v>
      </c>
      <c r="AS44" s="27">
        <f>SUM(AN44:$AN$56)</f>
        <v>2439.8867060412795</v>
      </c>
      <c r="AT44" s="26">
        <f t="shared" si="42"/>
        <v>28.436606544497607</v>
      </c>
      <c r="AU44" s="26">
        <f t="shared" si="43"/>
        <v>16.475997978777158</v>
      </c>
      <c r="AV44" s="25"/>
    </row>
    <row r="45" spans="2:48" x14ac:dyDescent="0.35">
      <c r="B45" s="24"/>
      <c r="C45" s="23"/>
      <c r="D45" s="22"/>
      <c r="E45" s="21">
        <f t="shared" si="44"/>
        <v>1.325</v>
      </c>
      <c r="F45" s="20">
        <v>1.35</v>
      </c>
      <c r="G45" s="19">
        <v>407.5</v>
      </c>
      <c r="H45" s="18">
        <f t="shared" si="30"/>
        <v>8.2364830722587161</v>
      </c>
      <c r="I45" s="18">
        <v>12.32</v>
      </c>
      <c r="J45" s="18">
        <v>0.48</v>
      </c>
      <c r="K45" s="18">
        <v>24.41</v>
      </c>
      <c r="L45" s="18">
        <v>0.55000000000000004</v>
      </c>
      <c r="M45" s="17">
        <v>6</v>
      </c>
      <c r="N45" s="16">
        <f t="shared" si="31"/>
        <v>0.7407407407407407</v>
      </c>
      <c r="O45" s="15"/>
      <c r="P45" s="14">
        <v>21</v>
      </c>
      <c r="Q45" s="20">
        <v>1.35</v>
      </c>
      <c r="R45" s="26">
        <f t="shared" si="32"/>
        <v>8.2364830722587161</v>
      </c>
      <c r="S45" s="26">
        <f t="shared" si="33"/>
        <v>12.379421221864952</v>
      </c>
      <c r="T45" s="28">
        <f t="shared" si="34"/>
        <v>101.96289333825099</v>
      </c>
      <c r="U45" s="28">
        <f>SUM($R$43:R45)</f>
        <v>26.989388580090953</v>
      </c>
      <c r="V45" s="28">
        <f>SUM($T$43:T45)</f>
        <v>224.71222022359109</v>
      </c>
      <c r="W45" s="28">
        <f t="shared" si="35"/>
        <v>8.3259470497732124</v>
      </c>
      <c r="X45" s="28">
        <f>SUM(R45:$R$56)</f>
        <v>81.247094492167747</v>
      </c>
      <c r="Y45" s="27">
        <f>SUM(T45:$T$56)</f>
        <v>2402.1747099821559</v>
      </c>
      <c r="Z45" s="26">
        <f t="shared" si="36"/>
        <v>29.566284492963948</v>
      </c>
      <c r="AA45" s="26">
        <f t="shared" si="37"/>
        <v>22.871147043961596</v>
      </c>
      <c r="AB45" s="29">
        <f>SUM(R44:R47)</f>
        <v>33.194542698332484</v>
      </c>
      <c r="AJ45" s="14">
        <v>21</v>
      </c>
      <c r="AK45" s="20">
        <v>1.35</v>
      </c>
      <c r="AL45" s="26">
        <f t="shared" si="38"/>
        <v>8.2364830722587161</v>
      </c>
      <c r="AM45" s="26">
        <f t="shared" si="39"/>
        <v>12.379421221864952</v>
      </c>
      <c r="AN45" s="28">
        <f t="shared" si="40"/>
        <v>101.96289333825099</v>
      </c>
      <c r="AO45" s="28">
        <f>SUM($AL$43:AL45)</f>
        <v>26.989388580090953</v>
      </c>
      <c r="AP45" s="28">
        <f>SUM($AN$43:AN45)</f>
        <v>224.71222022359109</v>
      </c>
      <c r="AQ45" s="28">
        <f t="shared" si="41"/>
        <v>8.3259470497732124</v>
      </c>
      <c r="AR45" s="28">
        <f>SUM(AL45:$AL$56)</f>
        <v>81.247094492167747</v>
      </c>
      <c r="AS45" s="27">
        <f>SUM(AN45:$AN$56)</f>
        <v>2402.1747099821559</v>
      </c>
      <c r="AT45" s="26">
        <f t="shared" si="42"/>
        <v>29.566284492963948</v>
      </c>
      <c r="AU45" s="26">
        <f t="shared" si="43"/>
        <v>22.871147043961596</v>
      </c>
      <c r="AV45" s="29">
        <f>SUM(AL44:AL47)</f>
        <v>33.194542698332484</v>
      </c>
    </row>
    <row r="46" spans="2:48" x14ac:dyDescent="0.35">
      <c r="B46" s="24"/>
      <c r="C46" s="23"/>
      <c r="D46" s="22"/>
      <c r="E46" s="21">
        <f t="shared" si="44"/>
        <v>1.35</v>
      </c>
      <c r="F46" s="20">
        <v>1.375</v>
      </c>
      <c r="G46" s="19">
        <v>466.2</v>
      </c>
      <c r="H46" s="18">
        <f t="shared" si="30"/>
        <v>9.422940879231934</v>
      </c>
      <c r="I46" s="18">
        <v>14.24</v>
      </c>
      <c r="J46" s="18">
        <v>0.51</v>
      </c>
      <c r="K46" s="18">
        <v>23.55</v>
      </c>
      <c r="L46" s="18">
        <v>0.56999999999999995</v>
      </c>
      <c r="M46" s="17">
        <v>5</v>
      </c>
      <c r="N46" s="16">
        <f t="shared" si="31"/>
        <v>0.72727272727272729</v>
      </c>
      <c r="O46" s="15"/>
      <c r="P46" s="14">
        <v>28</v>
      </c>
      <c r="Q46" s="20">
        <v>1.375</v>
      </c>
      <c r="R46" s="26">
        <f t="shared" si="32"/>
        <v>9.422940879231934</v>
      </c>
      <c r="S46" s="26">
        <f t="shared" si="33"/>
        <v>14.31299628103327</v>
      </c>
      <c r="T46" s="28">
        <f t="shared" si="34"/>
        <v>134.87051776084303</v>
      </c>
      <c r="U46" s="28">
        <f>SUM($R$43:R46)</f>
        <v>36.412329459322891</v>
      </c>
      <c r="V46" s="28">
        <f>SUM($T$43:T46)</f>
        <v>359.58273798443412</v>
      </c>
      <c r="W46" s="28">
        <f t="shared" si="35"/>
        <v>9.8753016718178621</v>
      </c>
      <c r="X46" s="28">
        <f>SUM(R46:$R$56)</f>
        <v>73.01061141990904</v>
      </c>
      <c r="Y46" s="27">
        <f>SUM(T46:$T$56)</f>
        <v>2300.211816643905</v>
      </c>
      <c r="Z46" s="26">
        <f t="shared" si="36"/>
        <v>31.505171260854109</v>
      </c>
      <c r="AA46" s="26">
        <f t="shared" si="37"/>
        <v>31.700859019706925</v>
      </c>
      <c r="AB46" s="29">
        <f>SUM(R45:R48)</f>
        <v>39.999999999999993</v>
      </c>
      <c r="AJ46" s="14">
        <v>28</v>
      </c>
      <c r="AK46" s="20">
        <v>1.375</v>
      </c>
      <c r="AL46" s="26">
        <f t="shared" si="38"/>
        <v>9.422940879231934</v>
      </c>
      <c r="AM46" s="26">
        <f t="shared" si="39"/>
        <v>14.31299628103327</v>
      </c>
      <c r="AN46" s="28">
        <f t="shared" si="40"/>
        <v>134.87051776084303</v>
      </c>
      <c r="AO46" s="28">
        <f>SUM($AL$43:AL46)</f>
        <v>36.412329459322891</v>
      </c>
      <c r="AP46" s="28">
        <f>SUM($AN$43:AN46)</f>
        <v>359.58273798443412</v>
      </c>
      <c r="AQ46" s="28">
        <f t="shared" si="41"/>
        <v>9.8753016718178621</v>
      </c>
      <c r="AR46" s="28">
        <f>SUM(AL46:$AL$56)</f>
        <v>73.01061141990904</v>
      </c>
      <c r="AS46" s="27">
        <f>SUM(AN46:$AN$56)</f>
        <v>2300.211816643905</v>
      </c>
      <c r="AT46" s="26">
        <f t="shared" si="42"/>
        <v>31.505171260854109</v>
      </c>
      <c r="AU46" s="26">
        <f t="shared" si="43"/>
        <v>31.700859019706925</v>
      </c>
      <c r="AV46" s="29">
        <f>SUM(AL45:AL48)</f>
        <v>39.999999999999993</v>
      </c>
    </row>
    <row r="47" spans="2:48" x14ac:dyDescent="0.35">
      <c r="B47" s="24"/>
      <c r="C47" s="23"/>
      <c r="D47" s="22"/>
      <c r="E47" s="21">
        <f t="shared" si="44"/>
        <v>1.375</v>
      </c>
      <c r="F47" s="20">
        <v>1.4</v>
      </c>
      <c r="G47" s="19">
        <v>543.29999999999995</v>
      </c>
      <c r="H47" s="18">
        <f t="shared" si="30"/>
        <v>10.981303688731678</v>
      </c>
      <c r="I47" s="18">
        <v>16.47</v>
      </c>
      <c r="J47" s="18">
        <v>0.5</v>
      </c>
      <c r="K47" s="18">
        <v>22.27</v>
      </c>
      <c r="L47" s="18">
        <v>0.57999999999999996</v>
      </c>
      <c r="M47" s="17">
        <v>4.5</v>
      </c>
      <c r="N47" s="16">
        <f t="shared" si="31"/>
        <v>0.7142857142857143</v>
      </c>
      <c r="O47" s="15"/>
      <c r="P47" s="14">
        <v>35</v>
      </c>
      <c r="Q47" s="20">
        <v>1.4</v>
      </c>
      <c r="R47" s="26">
        <f t="shared" si="32"/>
        <v>10.981303688731678</v>
      </c>
      <c r="S47" s="26">
        <f t="shared" si="33"/>
        <v>16.552763819095478</v>
      </c>
      <c r="T47" s="28">
        <f t="shared" si="34"/>
        <v>181.77092638533745</v>
      </c>
      <c r="U47" s="28">
        <f>SUM($R$43:R47)</f>
        <v>47.393633148054569</v>
      </c>
      <c r="V47" s="28">
        <f>SUM($T$43:T47)</f>
        <v>541.35366436977154</v>
      </c>
      <c r="W47" s="28">
        <f t="shared" si="35"/>
        <v>11.422497673445262</v>
      </c>
      <c r="X47" s="28">
        <f>SUM(R47:$R$56)</f>
        <v>63.587670540677102</v>
      </c>
      <c r="Y47" s="27">
        <f>SUM(T47:$T$56)</f>
        <v>2165.3412988830619</v>
      </c>
      <c r="Z47" s="26">
        <f t="shared" si="36"/>
        <v>34.052848303318342</v>
      </c>
      <c r="AA47" s="26">
        <f t="shared" si="37"/>
        <v>41.902981303688733</v>
      </c>
      <c r="AB47" s="29">
        <f>SUM(R46:R49)</f>
        <v>41.86558868115209</v>
      </c>
      <c r="AJ47" s="14">
        <v>35</v>
      </c>
      <c r="AK47" s="20">
        <v>1.4</v>
      </c>
      <c r="AL47" s="26">
        <f t="shared" si="38"/>
        <v>10.981303688731678</v>
      </c>
      <c r="AM47" s="26">
        <f t="shared" si="39"/>
        <v>16.552763819095478</v>
      </c>
      <c r="AN47" s="28">
        <f t="shared" si="40"/>
        <v>181.77092638533745</v>
      </c>
      <c r="AO47" s="28">
        <f>SUM($AL$43:AL47)</f>
        <v>47.393633148054569</v>
      </c>
      <c r="AP47" s="28">
        <f>SUM($AN$43:AN47)</f>
        <v>541.35366436977154</v>
      </c>
      <c r="AQ47" s="28">
        <f t="shared" si="41"/>
        <v>11.422497673445262</v>
      </c>
      <c r="AR47" s="28">
        <f>SUM(AL47:$AL$56)</f>
        <v>63.587670540677102</v>
      </c>
      <c r="AS47" s="27">
        <f>SUM(AN47:$AN$56)</f>
        <v>2165.3412988830619</v>
      </c>
      <c r="AT47" s="26">
        <f t="shared" si="42"/>
        <v>34.052848303318342</v>
      </c>
      <c r="AU47" s="26">
        <f t="shared" si="43"/>
        <v>41.902981303688733</v>
      </c>
      <c r="AV47" s="29">
        <f>SUM(AL46:AL49)</f>
        <v>41.86558868115209</v>
      </c>
    </row>
    <row r="48" spans="2:48" x14ac:dyDescent="0.35">
      <c r="B48" s="24"/>
      <c r="C48" s="23"/>
      <c r="D48" s="22"/>
      <c r="E48" s="21">
        <f t="shared" si="44"/>
        <v>1.4</v>
      </c>
      <c r="F48" s="20">
        <v>1.425</v>
      </c>
      <c r="G48" s="19">
        <v>562</v>
      </c>
      <c r="H48" s="18">
        <f t="shared" si="30"/>
        <v>11.359272359777664</v>
      </c>
      <c r="I48" s="18">
        <v>20.16</v>
      </c>
      <c r="J48" s="18">
        <v>0.71</v>
      </c>
      <c r="K48" s="18">
        <v>21.01</v>
      </c>
      <c r="L48" s="18">
        <v>0.56999999999999995</v>
      </c>
      <c r="M48" s="17">
        <v>2</v>
      </c>
      <c r="N48" s="16">
        <f t="shared" si="31"/>
        <v>0.70175438596491224</v>
      </c>
      <c r="O48" s="15"/>
      <c r="P48" s="14">
        <v>42</v>
      </c>
      <c r="Q48" s="20">
        <v>1.425</v>
      </c>
      <c r="R48" s="26">
        <f t="shared" si="32"/>
        <v>11.359272359777664</v>
      </c>
      <c r="S48" s="26">
        <f t="shared" si="33"/>
        <v>20.304159532682043</v>
      </c>
      <c r="T48" s="28">
        <f t="shared" si="34"/>
        <v>230.64047816811131</v>
      </c>
      <c r="U48" s="28">
        <f>SUM($R$43:R48)</f>
        <v>58.752905507832232</v>
      </c>
      <c r="V48" s="28">
        <f>SUM($T$43:T48)</f>
        <v>771.99414253788291</v>
      </c>
      <c r="W48" s="28">
        <f t="shared" si="35"/>
        <v>13.139676001810155</v>
      </c>
      <c r="X48" s="28">
        <f>SUM(R48:$R$56)</f>
        <v>52.606366851945417</v>
      </c>
      <c r="Y48" s="27">
        <f>SUM(T48:$T$56)</f>
        <v>1983.5703724977245</v>
      </c>
      <c r="Z48" s="26">
        <f t="shared" si="36"/>
        <v>37.705899327361948</v>
      </c>
      <c r="AA48" s="26">
        <f t="shared" si="37"/>
        <v>53.0732693279434</v>
      </c>
      <c r="AB48" s="29">
        <f>SUM(R47:R50)</f>
        <v>42.259727134916616</v>
      </c>
      <c r="AJ48" s="14">
        <v>42</v>
      </c>
      <c r="AK48" s="20">
        <v>1.425</v>
      </c>
      <c r="AL48" s="26">
        <f t="shared" si="38"/>
        <v>11.359272359777664</v>
      </c>
      <c r="AM48" s="26">
        <f t="shared" si="39"/>
        <v>20.304159532682043</v>
      </c>
      <c r="AN48" s="28">
        <f t="shared" si="40"/>
        <v>230.64047816811131</v>
      </c>
      <c r="AO48" s="28">
        <f>SUM($AL$43:AL48)</f>
        <v>58.752905507832232</v>
      </c>
      <c r="AP48" s="28">
        <f>SUM($AN$43:AN48)</f>
        <v>771.99414253788291</v>
      </c>
      <c r="AQ48" s="28">
        <f t="shared" si="41"/>
        <v>13.139676001810155</v>
      </c>
      <c r="AR48" s="28">
        <f>SUM(AL48:$AL$56)</f>
        <v>52.606366851945417</v>
      </c>
      <c r="AS48" s="27">
        <f>SUM(AN48:$AN$56)</f>
        <v>1983.5703724977245</v>
      </c>
      <c r="AT48" s="26">
        <f t="shared" si="42"/>
        <v>37.705899327361948</v>
      </c>
      <c r="AU48" s="26">
        <f t="shared" si="43"/>
        <v>53.0732693279434</v>
      </c>
      <c r="AV48" s="29">
        <f>SUM(AL47:AL50)</f>
        <v>42.259727134916616</v>
      </c>
    </row>
    <row r="49" spans="2:48" x14ac:dyDescent="0.35">
      <c r="B49" s="24"/>
      <c r="C49" s="23"/>
      <c r="D49" s="22"/>
      <c r="E49" s="21">
        <f t="shared" si="44"/>
        <v>1.425</v>
      </c>
      <c r="F49" s="20">
        <v>1.45</v>
      </c>
      <c r="G49" s="19">
        <v>499.8</v>
      </c>
      <c r="H49" s="18">
        <f t="shared" si="30"/>
        <v>10.102071753410812</v>
      </c>
      <c r="I49" s="18">
        <v>22.51</v>
      </c>
      <c r="J49" s="18">
        <v>0.55000000000000004</v>
      </c>
      <c r="K49" s="18">
        <v>20.41</v>
      </c>
      <c r="L49" s="18">
        <v>0.56000000000000005</v>
      </c>
      <c r="M49" s="17">
        <v>1.5</v>
      </c>
      <c r="N49" s="16">
        <f t="shared" si="31"/>
        <v>0.68965517241379315</v>
      </c>
      <c r="O49" s="15"/>
      <c r="P49" s="14">
        <v>49</v>
      </c>
      <c r="Q49" s="20">
        <v>1.45</v>
      </c>
      <c r="R49" s="26">
        <f t="shared" si="32"/>
        <v>10.102071753410812</v>
      </c>
      <c r="S49" s="26">
        <f t="shared" si="33"/>
        <v>22.63448969331322</v>
      </c>
      <c r="T49" s="28">
        <f t="shared" si="34"/>
        <v>228.65523898368764</v>
      </c>
      <c r="U49" s="28">
        <f>SUM($R$43:R49)</f>
        <v>68.85497726124305</v>
      </c>
      <c r="V49" s="28">
        <f>SUM($T$43:T49)</f>
        <v>1000.6493815215706</v>
      </c>
      <c r="W49" s="28">
        <f t="shared" si="35"/>
        <v>14.532709490629868</v>
      </c>
      <c r="X49" s="28">
        <f>SUM(R49:$R$56)</f>
        <v>41.247094492167754</v>
      </c>
      <c r="Y49" s="27">
        <f>SUM(T49:$T$56)</f>
        <v>1752.929894329613</v>
      </c>
      <c r="Z49" s="26">
        <f t="shared" si="36"/>
        <v>42.498263596784248</v>
      </c>
      <c r="AA49" s="26">
        <f t="shared" si="37"/>
        <v>63.803941384537644</v>
      </c>
      <c r="AB49" s="29">
        <f>SUM(R48:R51)</f>
        <v>38.203132895401708</v>
      </c>
      <c r="AJ49" s="14">
        <v>49</v>
      </c>
      <c r="AK49" s="20">
        <v>1.45</v>
      </c>
      <c r="AL49" s="26">
        <f t="shared" si="38"/>
        <v>10.102071753410812</v>
      </c>
      <c r="AM49" s="26">
        <f t="shared" si="39"/>
        <v>22.63448969331322</v>
      </c>
      <c r="AN49" s="28">
        <f t="shared" si="40"/>
        <v>228.65523898368764</v>
      </c>
      <c r="AO49" s="28">
        <f>SUM($AL$43:AL49)</f>
        <v>68.85497726124305</v>
      </c>
      <c r="AP49" s="28">
        <f>SUM($AN$43:AN49)</f>
        <v>1000.6493815215706</v>
      </c>
      <c r="AQ49" s="28">
        <f t="shared" si="41"/>
        <v>14.532709490629868</v>
      </c>
      <c r="AR49" s="28">
        <f>SUM(AL49:$AL$56)</f>
        <v>41.247094492167754</v>
      </c>
      <c r="AS49" s="27">
        <f>SUM(AN49:$AN$56)</f>
        <v>1752.929894329613</v>
      </c>
      <c r="AT49" s="26">
        <f t="shared" si="42"/>
        <v>42.498263596784248</v>
      </c>
      <c r="AU49" s="26">
        <f t="shared" si="43"/>
        <v>63.803941384537644</v>
      </c>
      <c r="AV49" s="29">
        <f>SUM(AL48:AL51)</f>
        <v>38.203132895401708</v>
      </c>
    </row>
    <row r="50" spans="2:48" x14ac:dyDescent="0.35">
      <c r="B50" s="24"/>
      <c r="C50" s="23"/>
      <c r="D50" s="22"/>
      <c r="E50" s="21">
        <f t="shared" si="44"/>
        <v>1.45</v>
      </c>
      <c r="F50" s="20">
        <v>1.5</v>
      </c>
      <c r="G50" s="19">
        <v>485.7</v>
      </c>
      <c r="H50" s="18">
        <f t="shared" si="30"/>
        <v>9.8170793329964603</v>
      </c>
      <c r="I50" s="18">
        <v>27.34</v>
      </c>
      <c r="J50" s="18">
        <v>0.55000000000000004</v>
      </c>
      <c r="K50" s="18">
        <v>19.2</v>
      </c>
      <c r="L50" s="18">
        <v>0.67</v>
      </c>
      <c r="M50" s="17">
        <v>1</v>
      </c>
      <c r="N50" s="16">
        <f t="shared" si="31"/>
        <v>0.66666666666666663</v>
      </c>
      <c r="O50" s="15"/>
      <c r="P50" s="14">
        <v>56</v>
      </c>
      <c r="Q50" s="20">
        <v>1.5</v>
      </c>
      <c r="R50" s="26">
        <f t="shared" si="32"/>
        <v>9.8170793329964603</v>
      </c>
      <c r="S50" s="26">
        <f t="shared" si="33"/>
        <v>27.491201608848666</v>
      </c>
      <c r="T50" s="28">
        <f t="shared" si="34"/>
        <v>269.88330715346729</v>
      </c>
      <c r="U50" s="28">
        <f>SUM($R$43:R50)</f>
        <v>78.672056594239507</v>
      </c>
      <c r="V50" s="28">
        <f>SUM($T$43:T50)</f>
        <v>1270.5326886750379</v>
      </c>
      <c r="W50" s="28">
        <f t="shared" si="35"/>
        <v>16.14973274726961</v>
      </c>
      <c r="X50" s="28">
        <f>SUM(R50:$R$56)</f>
        <v>31.145022738756943</v>
      </c>
      <c r="Y50" s="27">
        <f>SUM(T50:$T$56)</f>
        <v>1524.2746553459253</v>
      </c>
      <c r="Z50" s="26">
        <f t="shared" si="36"/>
        <v>48.941195777298766</v>
      </c>
      <c r="AA50" s="26">
        <f t="shared" si="37"/>
        <v>73.763516927741279</v>
      </c>
      <c r="AB50" s="29"/>
      <c r="AJ50" s="14">
        <v>56</v>
      </c>
      <c r="AK50" s="20">
        <v>1.5</v>
      </c>
      <c r="AL50" s="26">
        <f t="shared" si="38"/>
        <v>9.8170793329964603</v>
      </c>
      <c r="AM50" s="26">
        <f t="shared" si="39"/>
        <v>27.491201608848666</v>
      </c>
      <c r="AN50" s="28">
        <f t="shared" si="40"/>
        <v>269.88330715346729</v>
      </c>
      <c r="AO50" s="28">
        <f>SUM($AL$43:AL50)</f>
        <v>78.672056594239507</v>
      </c>
      <c r="AP50" s="28">
        <f>SUM($AN$43:AN50)</f>
        <v>1270.5326886750379</v>
      </c>
      <c r="AQ50" s="28">
        <f t="shared" si="41"/>
        <v>16.14973274726961</v>
      </c>
      <c r="AR50" s="28">
        <f>SUM(AL50:$AL$56)</f>
        <v>31.145022738756943</v>
      </c>
      <c r="AS50" s="27">
        <f>SUM(AN50:$AN$56)</f>
        <v>1524.2746553459253</v>
      </c>
      <c r="AT50" s="26">
        <f t="shared" si="42"/>
        <v>48.941195777298766</v>
      </c>
      <c r="AU50" s="26">
        <f t="shared" si="43"/>
        <v>73.763516927741279</v>
      </c>
      <c r="AV50" s="29"/>
    </row>
    <row r="51" spans="2:48" x14ac:dyDescent="0.35">
      <c r="B51" s="24"/>
      <c r="C51" s="23"/>
      <c r="D51" s="22"/>
      <c r="E51" s="21">
        <f t="shared" si="44"/>
        <v>1.5</v>
      </c>
      <c r="F51" s="20">
        <v>1.6</v>
      </c>
      <c r="G51" s="19">
        <v>342.6</v>
      </c>
      <c r="H51" s="18">
        <f t="shared" si="30"/>
        <v>6.9247094492167758</v>
      </c>
      <c r="I51" s="18">
        <v>34.869999999999997</v>
      </c>
      <c r="J51" s="18">
        <v>0.7</v>
      </c>
      <c r="K51" s="18">
        <v>18.63</v>
      </c>
      <c r="L51" s="18">
        <v>0.68</v>
      </c>
      <c r="M51" s="17">
        <v>1</v>
      </c>
      <c r="N51" s="16">
        <f t="shared" si="31"/>
        <v>0.625</v>
      </c>
      <c r="O51" s="15"/>
      <c r="P51" s="14">
        <v>63</v>
      </c>
      <c r="Q51" s="20">
        <v>1.6</v>
      </c>
      <c r="R51" s="26">
        <f t="shared" si="32"/>
        <v>6.9247094492167758</v>
      </c>
      <c r="S51" s="26">
        <f t="shared" si="33"/>
        <v>35.115810674723058</v>
      </c>
      <c r="T51" s="28">
        <f t="shared" si="34"/>
        <v>243.16678599616208</v>
      </c>
      <c r="U51" s="28">
        <f>SUM($R$43:R51)</f>
        <v>85.596766043456284</v>
      </c>
      <c r="V51" s="28">
        <f>SUM($T$43:T51)</f>
        <v>1513.6994746712001</v>
      </c>
      <c r="W51" s="28">
        <f t="shared" si="35"/>
        <v>17.684073179852565</v>
      </c>
      <c r="X51" s="28">
        <f>SUM(R51:$R$56)</f>
        <v>21.327943405760482</v>
      </c>
      <c r="Y51" s="27">
        <f>SUM(T51:$T$56)</f>
        <v>1254.3913481924581</v>
      </c>
      <c r="Z51" s="26">
        <f t="shared" si="36"/>
        <v>58.814454086260298</v>
      </c>
      <c r="AA51" s="26">
        <f t="shared" si="37"/>
        <v>82.134411318847896</v>
      </c>
      <c r="AB51" s="29">
        <f>SUM(R50:R52)</f>
        <v>18.104092976250627</v>
      </c>
      <c r="AJ51" s="14">
        <v>63</v>
      </c>
      <c r="AK51" s="20">
        <v>1.6</v>
      </c>
      <c r="AL51" s="26">
        <f t="shared" si="38"/>
        <v>6.9247094492167758</v>
      </c>
      <c r="AM51" s="26">
        <f t="shared" si="39"/>
        <v>35.115810674723058</v>
      </c>
      <c r="AN51" s="28">
        <f t="shared" si="40"/>
        <v>243.16678599616208</v>
      </c>
      <c r="AO51" s="28">
        <f>SUM($AL$43:AL51)</f>
        <v>85.596766043456284</v>
      </c>
      <c r="AP51" s="28">
        <f>SUM($AN$43:AN51)</f>
        <v>1513.6994746712001</v>
      </c>
      <c r="AQ51" s="28">
        <f t="shared" si="41"/>
        <v>17.684073179852565</v>
      </c>
      <c r="AR51" s="28">
        <f>SUM(AL51:$AL$56)</f>
        <v>21.327943405760482</v>
      </c>
      <c r="AS51" s="27">
        <f>SUM(AN51:$AN$56)</f>
        <v>1254.3913481924581</v>
      </c>
      <c r="AT51" s="26">
        <f t="shared" si="42"/>
        <v>58.814454086260298</v>
      </c>
      <c r="AU51" s="26">
        <f t="shared" si="43"/>
        <v>82.134411318847896</v>
      </c>
      <c r="AV51" s="29">
        <f>SUM(AL50:AL52)</f>
        <v>18.104092976250627</v>
      </c>
    </row>
    <row r="52" spans="2:48" x14ac:dyDescent="0.35">
      <c r="B52" s="24"/>
      <c r="C52" s="23"/>
      <c r="D52" s="22"/>
      <c r="E52" s="21">
        <f t="shared" si="44"/>
        <v>1.6</v>
      </c>
      <c r="F52" s="20">
        <v>1.7</v>
      </c>
      <c r="G52" s="19">
        <v>67.400000000000006</v>
      </c>
      <c r="H52" s="18">
        <f t="shared" si="30"/>
        <v>1.3623041940373926</v>
      </c>
      <c r="I52" s="18">
        <v>42.16</v>
      </c>
      <c r="J52" s="18">
        <v>0.82</v>
      </c>
      <c r="K52" s="18">
        <v>17.63</v>
      </c>
      <c r="L52" s="18">
        <v>0.74</v>
      </c>
      <c r="M52" s="17">
        <v>0.5</v>
      </c>
      <c r="N52" s="16">
        <f t="shared" si="31"/>
        <v>0.58823529411764708</v>
      </c>
      <c r="O52" s="15"/>
      <c r="P52" s="14">
        <v>70</v>
      </c>
      <c r="Q52" s="20">
        <v>1.7</v>
      </c>
      <c r="R52" s="26">
        <f t="shared" si="32"/>
        <v>1.3623041940373926</v>
      </c>
      <c r="S52" s="26">
        <f t="shared" si="33"/>
        <v>42.508570276265374</v>
      </c>
      <c r="T52" s="28">
        <f t="shared" si="34"/>
        <v>57.909603569889562</v>
      </c>
      <c r="U52" s="28">
        <f>SUM($R$43:R52)</f>
        <v>86.959070237493677</v>
      </c>
      <c r="V52" s="28">
        <f>SUM($T$43:T52)</f>
        <v>1571.6090782410897</v>
      </c>
      <c r="W52" s="28">
        <f t="shared" si="35"/>
        <v>18.07297472188781</v>
      </c>
      <c r="X52" s="28">
        <f>SUM(R52:$R$56)</f>
        <v>14.403233956543707</v>
      </c>
      <c r="Y52" s="27">
        <f>SUM(T52:$T$56)</f>
        <v>1011.2245621962959</v>
      </c>
      <c r="Z52" s="26">
        <f t="shared" si="36"/>
        <v>70.208160559446739</v>
      </c>
      <c r="AA52" s="26">
        <f t="shared" si="37"/>
        <v>86.277918140474981</v>
      </c>
      <c r="AB52" s="29">
        <f>SUM(R52:R53)</f>
        <v>3.591712986356745</v>
      </c>
      <c r="AJ52" s="14">
        <v>70</v>
      </c>
      <c r="AK52" s="20">
        <v>1.7</v>
      </c>
      <c r="AL52" s="26">
        <f t="shared" si="38"/>
        <v>1.3623041940373926</v>
      </c>
      <c r="AM52" s="26">
        <f t="shared" si="39"/>
        <v>42.508570276265374</v>
      </c>
      <c r="AN52" s="28">
        <f t="shared" si="40"/>
        <v>57.909603569889562</v>
      </c>
      <c r="AO52" s="28">
        <f>SUM($AL$43:AL52)</f>
        <v>86.959070237493677</v>
      </c>
      <c r="AP52" s="28">
        <f>SUM($AN$43:AN52)</f>
        <v>1571.6090782410897</v>
      </c>
      <c r="AQ52" s="28">
        <f t="shared" si="41"/>
        <v>18.07297472188781</v>
      </c>
      <c r="AR52" s="28">
        <f>SUM(AL52:$AL$56)</f>
        <v>14.403233956543707</v>
      </c>
      <c r="AS52" s="27">
        <f>SUM(AN52:$AN$56)</f>
        <v>1011.2245621962959</v>
      </c>
      <c r="AT52" s="26">
        <f t="shared" si="42"/>
        <v>70.208160559446739</v>
      </c>
      <c r="AU52" s="26">
        <f t="shared" si="43"/>
        <v>86.277918140474981</v>
      </c>
      <c r="AV52" s="29">
        <f>SUM(AL52:AL53)</f>
        <v>3.591712986356745</v>
      </c>
    </row>
    <row r="53" spans="2:48" x14ac:dyDescent="0.35">
      <c r="B53" s="24"/>
      <c r="C53" s="23"/>
      <c r="D53" s="22"/>
      <c r="E53" s="21">
        <f t="shared" si="44"/>
        <v>1.7</v>
      </c>
      <c r="F53" s="20">
        <v>1.8</v>
      </c>
      <c r="G53" s="19">
        <v>110.3</v>
      </c>
      <c r="H53" s="18">
        <f t="shared" si="30"/>
        <v>2.2294087923193526</v>
      </c>
      <c r="I53" s="18">
        <v>58.25</v>
      </c>
      <c r="J53" s="18">
        <v>0.9</v>
      </c>
      <c r="K53" s="18">
        <v>15.11</v>
      </c>
      <c r="L53" s="18">
        <v>1.25</v>
      </c>
      <c r="M53" s="17">
        <v>0</v>
      </c>
      <c r="N53" s="16">
        <f t="shared" si="31"/>
        <v>0.55555555555555558</v>
      </c>
      <c r="O53" s="15"/>
      <c r="P53" s="14">
        <v>77</v>
      </c>
      <c r="Q53" s="20">
        <v>1.8</v>
      </c>
      <c r="R53" s="26">
        <f t="shared" si="32"/>
        <v>2.2294087923193526</v>
      </c>
      <c r="S53" s="26">
        <f t="shared" si="33"/>
        <v>58.779011099899094</v>
      </c>
      <c r="T53" s="28">
        <f t="shared" si="34"/>
        <v>131.04244414995185</v>
      </c>
      <c r="U53" s="28">
        <f>SUM($R$43:R53)</f>
        <v>89.188479029813024</v>
      </c>
      <c r="V53" s="28">
        <f>SUM($T$43:T53)</f>
        <v>1702.6515223910415</v>
      </c>
      <c r="W53" s="28">
        <f t="shared" si="35"/>
        <v>19.090487257013276</v>
      </c>
      <c r="X53" s="28">
        <f>SUM(R53:$R$56)</f>
        <v>13.040929762506314</v>
      </c>
      <c r="Y53" s="27">
        <f>SUM(T53:$T$56)</f>
        <v>953.31495862640645</v>
      </c>
      <c r="Z53" s="26">
        <f t="shared" si="36"/>
        <v>73.101763140175862</v>
      </c>
      <c r="AA53" s="26">
        <f t="shared" si="37"/>
        <v>88.073774633653343</v>
      </c>
      <c r="AB53" s="29">
        <f>SUM(R53:R54)</f>
        <v>4.8974229408792311</v>
      </c>
      <c r="AJ53" s="14">
        <v>77</v>
      </c>
      <c r="AK53" s="20">
        <v>1.8</v>
      </c>
      <c r="AL53" s="26">
        <f t="shared" si="38"/>
        <v>2.2294087923193526</v>
      </c>
      <c r="AM53" s="26">
        <f t="shared" si="39"/>
        <v>58.779011099899094</v>
      </c>
      <c r="AN53" s="28">
        <f t="shared" si="40"/>
        <v>131.04244414995185</v>
      </c>
      <c r="AO53" s="28">
        <f>SUM($AL$43:AL53)</f>
        <v>89.188479029813024</v>
      </c>
      <c r="AP53" s="28">
        <f>SUM($AN$43:AN53)</f>
        <v>1702.6515223910415</v>
      </c>
      <c r="AQ53" s="28">
        <f t="shared" si="41"/>
        <v>19.090487257013276</v>
      </c>
      <c r="AR53" s="28">
        <f>SUM(AL53:$AL$56)</f>
        <v>13.040929762506314</v>
      </c>
      <c r="AS53" s="27">
        <f>SUM(AN53:$AN$56)</f>
        <v>953.31495862640645</v>
      </c>
      <c r="AT53" s="26">
        <f t="shared" si="42"/>
        <v>73.101763140175862</v>
      </c>
      <c r="AU53" s="26">
        <f t="shared" si="43"/>
        <v>88.073774633653343</v>
      </c>
      <c r="AV53" s="29">
        <f>SUM(AL53:AL54)</f>
        <v>4.8974229408792311</v>
      </c>
    </row>
    <row r="54" spans="2:48" x14ac:dyDescent="0.35">
      <c r="B54" s="24"/>
      <c r="C54" s="23"/>
      <c r="D54" s="22"/>
      <c r="E54" s="21">
        <f t="shared" si="44"/>
        <v>1.8</v>
      </c>
      <c r="F54" s="20">
        <v>2</v>
      </c>
      <c r="G54" s="19">
        <v>132</v>
      </c>
      <c r="H54" s="18">
        <f t="shared" si="30"/>
        <v>2.6680141485598781</v>
      </c>
      <c r="I54" s="18">
        <v>62.63</v>
      </c>
      <c r="J54" s="18">
        <v>0.86</v>
      </c>
      <c r="K54" s="18">
        <v>14.78</v>
      </c>
      <c r="L54" s="18">
        <v>1.29</v>
      </c>
      <c r="M54" s="17">
        <v>0</v>
      </c>
      <c r="N54" s="16">
        <f t="shared" si="31"/>
        <v>0.5</v>
      </c>
      <c r="O54" s="15"/>
      <c r="P54" s="14">
        <v>84</v>
      </c>
      <c r="Q54" s="20">
        <v>2</v>
      </c>
      <c r="R54" s="26">
        <f t="shared" si="32"/>
        <v>2.6680141485598781</v>
      </c>
      <c r="S54" s="26">
        <f t="shared" si="33"/>
        <v>63.173290296550334</v>
      </c>
      <c r="T54" s="28">
        <f t="shared" si="34"/>
        <v>168.54723232227676</v>
      </c>
      <c r="U54" s="28">
        <f>SUM($R$43:R54)</f>
        <v>91.856493178372901</v>
      </c>
      <c r="V54" s="28">
        <f>SUM($T$43:T54)</f>
        <v>1871.1987547133183</v>
      </c>
      <c r="W54" s="28">
        <f t="shared" si="35"/>
        <v>20.37089257348093</v>
      </c>
      <c r="X54" s="28">
        <f>SUM(R54:$R$56)</f>
        <v>10.811520970186962</v>
      </c>
      <c r="Y54" s="27">
        <f>SUM(T54:$T$56)</f>
        <v>822.2725144764546</v>
      </c>
      <c r="Z54" s="26">
        <f t="shared" si="36"/>
        <v>76.055211541825756</v>
      </c>
      <c r="AA54" s="26">
        <f t="shared" si="37"/>
        <v>90.522486104092962</v>
      </c>
      <c r="AB54" s="25"/>
      <c r="AJ54" s="14">
        <v>84</v>
      </c>
      <c r="AK54" s="20">
        <v>2</v>
      </c>
      <c r="AL54" s="26">
        <f t="shared" si="38"/>
        <v>2.6680141485598781</v>
      </c>
      <c r="AM54" s="26">
        <f t="shared" si="39"/>
        <v>63.173290296550334</v>
      </c>
      <c r="AN54" s="28">
        <f t="shared" si="40"/>
        <v>168.54723232227676</v>
      </c>
      <c r="AO54" s="28">
        <f>SUM($AL$43:AL54)</f>
        <v>91.856493178372901</v>
      </c>
      <c r="AP54" s="28">
        <f>SUM($AN$43:AN54)</f>
        <v>1871.1987547133183</v>
      </c>
      <c r="AQ54" s="28">
        <f t="shared" si="41"/>
        <v>20.37089257348093</v>
      </c>
      <c r="AR54" s="28">
        <f>SUM(AL54:$AL$56)</f>
        <v>10.811520970186962</v>
      </c>
      <c r="AS54" s="27">
        <f>SUM(AN54:$AN$56)</f>
        <v>822.2725144764546</v>
      </c>
      <c r="AT54" s="26">
        <f t="shared" si="42"/>
        <v>76.055211541825756</v>
      </c>
      <c r="AU54" s="26">
        <f t="shared" si="43"/>
        <v>90.522486104092962</v>
      </c>
      <c r="AV54" s="25"/>
    </row>
    <row r="55" spans="2:48" x14ac:dyDescent="0.35">
      <c r="B55" s="24"/>
      <c r="C55" s="23"/>
      <c r="D55" s="22"/>
      <c r="E55" s="21">
        <f t="shared" si="44"/>
        <v>2</v>
      </c>
      <c r="F55" s="20">
        <v>2.2000000000000002</v>
      </c>
      <c r="G55" s="19">
        <v>146.6</v>
      </c>
      <c r="H55" s="18">
        <f t="shared" si="30"/>
        <v>2.9631126831733194</v>
      </c>
      <c r="I55" s="18">
        <v>74.03</v>
      </c>
      <c r="J55" s="18">
        <v>0.96</v>
      </c>
      <c r="K55" s="18">
        <v>11.49</v>
      </c>
      <c r="L55" s="18">
        <v>1</v>
      </c>
      <c r="M55" s="17">
        <v>0</v>
      </c>
      <c r="N55" s="16">
        <f t="shared" si="31"/>
        <v>0.45454545454545453</v>
      </c>
      <c r="O55" s="15"/>
      <c r="P55" s="14">
        <v>91</v>
      </c>
      <c r="Q55" s="20">
        <v>2.2000000000000002</v>
      </c>
      <c r="R55" s="26">
        <f t="shared" si="32"/>
        <v>2.9631126831733194</v>
      </c>
      <c r="S55" s="26">
        <f t="shared" si="33"/>
        <v>74.747576736672045</v>
      </c>
      <c r="T55" s="28">
        <f t="shared" si="34"/>
        <v>221.48549266490389</v>
      </c>
      <c r="U55" s="28">
        <f>SUM($R$43:R55)</f>
        <v>94.819605861546222</v>
      </c>
      <c r="V55" s="28">
        <f>SUM($T$43:T55)</f>
        <v>2092.6842473782222</v>
      </c>
      <c r="W55" s="28">
        <f t="shared" si="35"/>
        <v>22.070163953580654</v>
      </c>
      <c r="X55" s="28">
        <f>SUM(R55:$R$56)</f>
        <v>8.1435068216270832</v>
      </c>
      <c r="Y55" s="27">
        <f>SUM(T55:$T$56)</f>
        <v>653.72528215417788</v>
      </c>
      <c r="Z55" s="26">
        <f t="shared" si="36"/>
        <v>80.27564739284675</v>
      </c>
      <c r="AA55" s="26">
        <f t="shared" si="37"/>
        <v>93.338049519959569</v>
      </c>
      <c r="AB55" s="25"/>
      <c r="AJ55" s="14">
        <v>91</v>
      </c>
      <c r="AK55" s="20">
        <v>2.2000000000000002</v>
      </c>
      <c r="AL55" s="26">
        <f t="shared" si="38"/>
        <v>2.9631126831733194</v>
      </c>
      <c r="AM55" s="26">
        <f t="shared" si="39"/>
        <v>74.747576736672045</v>
      </c>
      <c r="AN55" s="28">
        <f t="shared" si="40"/>
        <v>221.48549266490389</v>
      </c>
      <c r="AO55" s="28">
        <f>SUM($AL$43:AL55)</f>
        <v>94.819605861546222</v>
      </c>
      <c r="AP55" s="28">
        <f>SUM($AN$43:AN55)</f>
        <v>2092.6842473782222</v>
      </c>
      <c r="AQ55" s="28">
        <f t="shared" si="41"/>
        <v>22.070163953580654</v>
      </c>
      <c r="AR55" s="28">
        <f>SUM(AL55:$AL$56)</f>
        <v>8.1435068216270832</v>
      </c>
      <c r="AS55" s="27">
        <f>SUM(AN55:$AN$56)</f>
        <v>653.72528215417788</v>
      </c>
      <c r="AT55" s="26">
        <f t="shared" si="42"/>
        <v>80.27564739284675</v>
      </c>
      <c r="AU55" s="26">
        <f t="shared" si="43"/>
        <v>93.338049519959569</v>
      </c>
      <c r="AV55" s="25"/>
    </row>
    <row r="56" spans="2:48" x14ac:dyDescent="0.35">
      <c r="B56" s="24"/>
      <c r="C56" s="23"/>
      <c r="D56" s="22"/>
      <c r="E56" s="21">
        <f t="shared" si="44"/>
        <v>2.2000000000000002</v>
      </c>
      <c r="F56" s="20">
        <v>2.8</v>
      </c>
      <c r="G56" s="19">
        <v>256.3</v>
      </c>
      <c r="H56" s="18">
        <f t="shared" si="30"/>
        <v>5.1803941384537637</v>
      </c>
      <c r="I56" s="18">
        <v>82.67</v>
      </c>
      <c r="J56" s="18">
        <v>0.92</v>
      </c>
      <c r="K56" s="18">
        <v>10.91</v>
      </c>
      <c r="L56" s="18">
        <v>1.42</v>
      </c>
      <c r="M56" s="17">
        <v>0</v>
      </c>
      <c r="N56" s="16">
        <f t="shared" si="31"/>
        <v>0.35714285714285715</v>
      </c>
      <c r="O56" s="15"/>
      <c r="P56" s="14">
        <v>98</v>
      </c>
      <c r="Q56" s="13">
        <v>2.8</v>
      </c>
      <c r="R56" s="10">
        <f t="shared" si="32"/>
        <v>5.1803941384537637</v>
      </c>
      <c r="S56" s="10">
        <f t="shared" si="33"/>
        <v>83.437626160678235</v>
      </c>
      <c r="T56" s="12">
        <f t="shared" si="34"/>
        <v>432.23978948927396</v>
      </c>
      <c r="U56" s="12">
        <f>SUM($R$43:R56)</f>
        <v>99.999999999999986</v>
      </c>
      <c r="V56" s="12">
        <f>SUM($T$43:T56)</f>
        <v>2524.9240368674959</v>
      </c>
      <c r="W56" s="12">
        <f t="shared" si="35"/>
        <v>25.249240368674965</v>
      </c>
      <c r="X56" s="12">
        <f>SUM(R56:$R$56)</f>
        <v>5.1803941384537637</v>
      </c>
      <c r="Y56" s="11">
        <f>SUM(T56:$T$56)</f>
        <v>432.23978948927396</v>
      </c>
      <c r="Z56" s="10">
        <f t="shared" si="36"/>
        <v>83.437626160678235</v>
      </c>
      <c r="AA56" s="10">
        <f t="shared" si="37"/>
        <v>97.409802930773111</v>
      </c>
      <c r="AB56" s="9"/>
      <c r="AJ56" s="14">
        <v>98</v>
      </c>
      <c r="AK56" s="13">
        <v>2.8</v>
      </c>
      <c r="AL56" s="10">
        <f t="shared" si="38"/>
        <v>5.1803941384537637</v>
      </c>
      <c r="AM56" s="10">
        <f t="shared" si="39"/>
        <v>83.437626160678235</v>
      </c>
      <c r="AN56" s="12">
        <f t="shared" si="40"/>
        <v>432.23978948927396</v>
      </c>
      <c r="AO56" s="12">
        <f>SUM($AL$43:AL56)</f>
        <v>99.999999999999986</v>
      </c>
      <c r="AP56" s="12">
        <f>SUM($AN$43:AN56)</f>
        <v>2524.9240368674959</v>
      </c>
      <c r="AQ56" s="12">
        <f t="shared" si="41"/>
        <v>25.249240368674965</v>
      </c>
      <c r="AR56" s="12">
        <f>SUM(AL56:$AL$56)</f>
        <v>5.1803941384537637</v>
      </c>
      <c r="AS56" s="11">
        <f>SUM(AN56:$AN$56)</f>
        <v>432.23978948927396</v>
      </c>
      <c r="AT56" s="10">
        <f t="shared" si="42"/>
        <v>83.437626160678235</v>
      </c>
      <c r="AU56" s="10">
        <f t="shared" si="43"/>
        <v>97.409802930773111</v>
      </c>
      <c r="AV56" s="9"/>
    </row>
    <row r="57" spans="2:48" x14ac:dyDescent="0.35">
      <c r="B57" s="94" t="s">
        <v>0</v>
      </c>
      <c r="C57" s="95"/>
      <c r="D57" s="95"/>
      <c r="E57" s="8"/>
      <c r="F57" s="7"/>
      <c r="G57" s="6">
        <f>SUM(G43:G56)</f>
        <v>4947.5000000000009</v>
      </c>
      <c r="H57" s="5">
        <f>SUM(H43:H56)</f>
        <v>99.999999999999986</v>
      </c>
      <c r="I57" s="4">
        <f>SUMPRODUCT($H$43:$H$56,I43:I56)/$H$57</f>
        <v>25.068083274380999</v>
      </c>
      <c r="J57" s="4">
        <f>SUMPRODUCT($H$43:$H$56,J43:J56)/$H$57</f>
        <v>0.62652693279434057</v>
      </c>
      <c r="K57" s="4">
        <f>SUMPRODUCT($H$43:$H$56,K43:K56)/$H$57</f>
        <v>21.289333804951998</v>
      </c>
      <c r="L57" s="4">
        <f>SUMPRODUCT($H$43:$H$56,L43:L56)/$H$57</f>
        <v>0.68922081859525008</v>
      </c>
      <c r="M57" s="3">
        <f>SUMPRODUCT($H$43:$H$56,M43:M56)/$H$57</f>
        <v>3.4671349166245573</v>
      </c>
      <c r="N57" s="2"/>
      <c r="O57" s="2"/>
    </row>
    <row r="58" spans="2:48" ht="35.5" customHeight="1" x14ac:dyDescent="0.35">
      <c r="B58" s="46" t="s">
        <v>8</v>
      </c>
      <c r="C58" s="45" t="s">
        <v>7</v>
      </c>
      <c r="D58" s="44">
        <f>[1]Pretreatment!R45+[1]Pretreatment!R46</f>
        <v>23.408624229979463</v>
      </c>
      <c r="E58" s="33"/>
      <c r="F58" s="33"/>
      <c r="G58" s="43"/>
      <c r="H58" s="33"/>
      <c r="I58" s="33"/>
      <c r="J58" s="33"/>
      <c r="K58" s="33"/>
      <c r="L58" s="33"/>
      <c r="M58" s="33"/>
      <c r="N58" s="42" t="s">
        <v>2</v>
      </c>
      <c r="O58" s="42"/>
      <c r="P58" s="41"/>
      <c r="Q58" s="103" t="s">
        <v>6</v>
      </c>
      <c r="R58" s="104"/>
      <c r="S58" s="104"/>
      <c r="T58" s="104"/>
      <c r="U58" s="104"/>
      <c r="V58" s="104"/>
      <c r="W58" s="104"/>
      <c r="X58" s="104"/>
      <c r="Y58" s="104"/>
      <c r="Z58" s="104"/>
      <c r="AA58" s="105"/>
      <c r="AB58" s="48">
        <f>D58</f>
        <v>23.408624229979463</v>
      </c>
      <c r="AK58" s="103" t="s">
        <v>5</v>
      </c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40">
        <f>AB58+AB74</f>
        <v>29.568788501026688</v>
      </c>
    </row>
    <row r="59" spans="2:48" x14ac:dyDescent="0.35">
      <c r="B59" s="24"/>
      <c r="C59" s="23"/>
      <c r="D59" s="22"/>
      <c r="E59" s="39">
        <v>1.25</v>
      </c>
      <c r="F59" s="20">
        <v>1.3</v>
      </c>
      <c r="G59" s="47">
        <v>833.1</v>
      </c>
      <c r="H59" s="18">
        <f t="shared" ref="H59:H72" si="45">G59/$G$73*100</f>
        <v>27.239733193826837</v>
      </c>
      <c r="I59" s="18">
        <v>3.3</v>
      </c>
      <c r="J59" s="18">
        <v>1.06</v>
      </c>
      <c r="K59" s="18">
        <v>28.54</v>
      </c>
      <c r="L59" s="18">
        <v>0.84</v>
      </c>
      <c r="M59" s="17">
        <v>9</v>
      </c>
      <c r="N59" s="16">
        <f t="shared" ref="N59:N72" si="46">1/Q59</f>
        <v>0.76923076923076916</v>
      </c>
      <c r="O59" s="15"/>
      <c r="P59" s="14">
        <v>7</v>
      </c>
      <c r="Q59" s="38">
        <v>1.3</v>
      </c>
      <c r="R59" s="35">
        <f t="shared" ref="R59:R72" si="47">H59</f>
        <v>27.239733193826837</v>
      </c>
      <c r="S59" s="35">
        <f t="shared" ref="S59:S72" si="48">I59*100/(100-J59)</f>
        <v>3.3353547604608855</v>
      </c>
      <c r="T59" s="37">
        <f t="shared" ref="T59:T72" si="49">R59*S59</f>
        <v>90.854173781714735</v>
      </c>
      <c r="U59" s="37">
        <f>SUM($R$59:R59)</f>
        <v>27.239733193826837</v>
      </c>
      <c r="V59" s="37">
        <f>SUM($T$59:T59)</f>
        <v>90.854173781714735</v>
      </c>
      <c r="W59" s="37">
        <f t="shared" ref="W59:W72" si="50">V59/U59</f>
        <v>3.3353547604608855</v>
      </c>
      <c r="X59" s="37">
        <f>SUM(R59:$R$72)</f>
        <v>100.00000000000001</v>
      </c>
      <c r="Y59" s="36">
        <f>SUM(T59:$T$72)</f>
        <v>2062.3217248304145</v>
      </c>
      <c r="Z59" s="35">
        <f t="shared" ref="Z59:Z72" si="51">Y59/X59</f>
        <v>20.62321724830414</v>
      </c>
      <c r="AA59" s="34">
        <f t="shared" ref="AA59:AA72" si="52">U59-R59/2</f>
        <v>13.619866596913418</v>
      </c>
      <c r="AB59" s="33"/>
      <c r="AJ59" s="14">
        <v>7</v>
      </c>
      <c r="AK59" s="38">
        <v>1.3</v>
      </c>
      <c r="AL59" s="35">
        <f t="shared" ref="AL59:AL72" si="53">(R59*$AB$58+R75*$AB$74)/$AV$58</f>
        <v>33.345650299116961</v>
      </c>
      <c r="AM59" s="35">
        <f t="shared" ref="AM59:AM72" si="54">((R59*S59*$AB$58+R75*S75*$AB$74)/AL59)/$AV$58</f>
        <v>4.8595216925460889</v>
      </c>
      <c r="AN59" s="37">
        <f t="shared" ref="AN59:AN72" si="55">AL59*AM59</f>
        <v>162.04391098061484</v>
      </c>
      <c r="AO59" s="37">
        <f>SUM($AL$59:AL59)</f>
        <v>33.345650299116961</v>
      </c>
      <c r="AP59" s="37">
        <f>SUM($AN$59:AN59)</f>
        <v>162.04391098061484</v>
      </c>
      <c r="AQ59" s="37">
        <f t="shared" ref="AQ59:AQ72" si="56">AP59/AO59</f>
        <v>4.8595216925460889</v>
      </c>
      <c r="AR59" s="37">
        <f>SUM(AL59:$AL$72)</f>
        <v>100</v>
      </c>
      <c r="AS59" s="36">
        <f>SUM(AN59:$AN$72)</f>
        <v>2048.7687880869539</v>
      </c>
      <c r="AT59" s="35">
        <f t="shared" ref="AT59:AT72" si="57">AS59/AR59</f>
        <v>20.48768788086954</v>
      </c>
      <c r="AU59" s="34">
        <f t="shared" ref="AU59:AU72" si="58">AO59-AL59/2</f>
        <v>16.672825149558481</v>
      </c>
      <c r="AV59" s="33"/>
    </row>
    <row r="60" spans="2:48" x14ac:dyDescent="0.35">
      <c r="B60" s="24"/>
      <c r="C60" s="23"/>
      <c r="D60" s="22"/>
      <c r="E60" s="21">
        <f t="shared" ref="E60:E72" si="59">F59</f>
        <v>1.3</v>
      </c>
      <c r="F60" s="20">
        <v>1.325</v>
      </c>
      <c r="G60" s="47">
        <v>186.5</v>
      </c>
      <c r="H60" s="18">
        <f t="shared" si="45"/>
        <v>6.0979597174993465</v>
      </c>
      <c r="I60" s="18">
        <v>7.93</v>
      </c>
      <c r="J60" s="18">
        <v>1.1299999999999999</v>
      </c>
      <c r="K60" s="18">
        <v>26.63</v>
      </c>
      <c r="L60" s="18">
        <v>0.69</v>
      </c>
      <c r="M60" s="17">
        <v>8</v>
      </c>
      <c r="N60" s="16">
        <f t="shared" si="46"/>
        <v>0.75471698113207553</v>
      </c>
      <c r="O60" s="15"/>
      <c r="P60" s="14">
        <v>14</v>
      </c>
      <c r="Q60" s="20">
        <v>1.325</v>
      </c>
      <c r="R60" s="26">
        <f t="shared" si="47"/>
        <v>6.0979597174993465</v>
      </c>
      <c r="S60" s="26">
        <f t="shared" si="48"/>
        <v>8.0206331546475162</v>
      </c>
      <c r="T60" s="28">
        <f t="shared" si="49"/>
        <v>48.909497885880263</v>
      </c>
      <c r="U60" s="28">
        <f>SUM($R$59:R60)</f>
        <v>33.337692911326187</v>
      </c>
      <c r="V60" s="28">
        <f>SUM($T$59:T60)</f>
        <v>139.76367166759499</v>
      </c>
      <c r="W60" s="28">
        <f t="shared" si="50"/>
        <v>4.1923618421750932</v>
      </c>
      <c r="X60" s="28">
        <f>SUM(R60:$R$72)</f>
        <v>72.760266806173163</v>
      </c>
      <c r="Y60" s="27">
        <f>SUM(T60:$T$72)</f>
        <v>1971.4675510486998</v>
      </c>
      <c r="Z60" s="26">
        <f t="shared" si="51"/>
        <v>27.095386501268788</v>
      </c>
      <c r="AA60" s="26">
        <f t="shared" si="52"/>
        <v>30.288713052576512</v>
      </c>
      <c r="AB60" s="25"/>
      <c r="AJ60" s="14">
        <v>14</v>
      </c>
      <c r="AK60" s="20">
        <v>1.325</v>
      </c>
      <c r="AL60" s="26">
        <f t="shared" si="53"/>
        <v>6.6765925917145443</v>
      </c>
      <c r="AM60" s="26">
        <f t="shared" si="54"/>
        <v>10.58044679007299</v>
      </c>
      <c r="AN60" s="28">
        <f t="shared" si="55"/>
        <v>70.64133265563126</v>
      </c>
      <c r="AO60" s="28">
        <f>SUM($AL$59:AL60)</f>
        <v>40.022242890831507</v>
      </c>
      <c r="AP60" s="28">
        <f>SUM($AN$59:AN60)</f>
        <v>232.6852436362461</v>
      </c>
      <c r="AQ60" s="28">
        <f t="shared" si="56"/>
        <v>5.8138981433634438</v>
      </c>
      <c r="AR60" s="28">
        <f>SUM(AL60:$AL$72)</f>
        <v>66.654349700883046</v>
      </c>
      <c r="AS60" s="27">
        <f>SUM(AN60:$AN$72)</f>
        <v>1886.7248771063391</v>
      </c>
      <c r="AT60" s="26">
        <f t="shared" si="57"/>
        <v>28.306102836096585</v>
      </c>
      <c r="AU60" s="26">
        <f t="shared" si="58"/>
        <v>36.683946594974238</v>
      </c>
      <c r="AV60" s="25"/>
    </row>
    <row r="61" spans="2:48" x14ac:dyDescent="0.35">
      <c r="B61" s="24"/>
      <c r="C61" s="23"/>
      <c r="D61" s="22"/>
      <c r="E61" s="21">
        <f t="shared" si="59"/>
        <v>1.325</v>
      </c>
      <c r="F61" s="20">
        <v>1.35</v>
      </c>
      <c r="G61" s="47">
        <v>220.6</v>
      </c>
      <c r="H61" s="18">
        <f t="shared" si="45"/>
        <v>7.2129217891708075</v>
      </c>
      <c r="I61" s="18">
        <v>10.58</v>
      </c>
      <c r="J61" s="18">
        <v>0.78</v>
      </c>
      <c r="K61" s="18">
        <v>25.6</v>
      </c>
      <c r="L61" s="18">
        <v>0.63</v>
      </c>
      <c r="M61" s="17">
        <v>7</v>
      </c>
      <c r="N61" s="16">
        <f t="shared" si="46"/>
        <v>0.7407407407407407</v>
      </c>
      <c r="O61" s="15"/>
      <c r="P61" s="14">
        <v>21</v>
      </c>
      <c r="Q61" s="20">
        <v>1.35</v>
      </c>
      <c r="R61" s="26">
        <f t="shared" si="47"/>
        <v>7.2129217891708075</v>
      </c>
      <c r="S61" s="26">
        <f t="shared" si="48"/>
        <v>10.663172747429954</v>
      </c>
      <c r="T61" s="28">
        <f t="shared" si="49"/>
        <v>76.912631051629859</v>
      </c>
      <c r="U61" s="28">
        <f>SUM($R$59:R61)</f>
        <v>40.550614700496993</v>
      </c>
      <c r="V61" s="28">
        <f>SUM($T$59:T61)</f>
        <v>216.67630271922485</v>
      </c>
      <c r="W61" s="28">
        <f t="shared" si="50"/>
        <v>5.3433543318535497</v>
      </c>
      <c r="X61" s="28">
        <f>SUM(R61:$R$72)</f>
        <v>66.662307088673813</v>
      </c>
      <c r="Y61" s="27">
        <f>SUM(T61:$T$72)</f>
        <v>1922.5580531628195</v>
      </c>
      <c r="Z61" s="26">
        <f t="shared" si="51"/>
        <v>28.840256767672983</v>
      </c>
      <c r="AA61" s="26">
        <f t="shared" si="52"/>
        <v>36.94415380591159</v>
      </c>
      <c r="AB61" s="29">
        <f>SUM(R60:R63)</f>
        <v>28.956317028511641</v>
      </c>
      <c r="AJ61" s="14">
        <v>21</v>
      </c>
      <c r="AK61" s="20">
        <v>1.35</v>
      </c>
      <c r="AL61" s="26">
        <f t="shared" si="53"/>
        <v>7.5130950608649103</v>
      </c>
      <c r="AM61" s="26">
        <f t="shared" si="54"/>
        <v>12.834189366815655</v>
      </c>
      <c r="AN61" s="28">
        <f t="shared" si="55"/>
        <v>96.424484742027659</v>
      </c>
      <c r="AO61" s="28">
        <f>SUM($AL$59:AL61)</f>
        <v>47.53533795169642</v>
      </c>
      <c r="AP61" s="28">
        <f>SUM($AN$59:AN61)</f>
        <v>329.10972837827376</v>
      </c>
      <c r="AQ61" s="28">
        <f t="shared" si="56"/>
        <v>6.9234750936808824</v>
      </c>
      <c r="AR61" s="28">
        <f>SUM(AL61:$AL$72)</f>
        <v>59.977757109168493</v>
      </c>
      <c r="AS61" s="27">
        <f>SUM(AN61:$AN$72)</f>
        <v>1816.0835444507081</v>
      </c>
      <c r="AT61" s="26">
        <f t="shared" si="57"/>
        <v>30.279284054339751</v>
      </c>
      <c r="AU61" s="26">
        <f t="shared" si="58"/>
        <v>43.778790421263963</v>
      </c>
      <c r="AV61" s="29">
        <f>SUM(AL60:AL63)</f>
        <v>28.476897362325499</v>
      </c>
    </row>
    <row r="62" spans="2:48" x14ac:dyDescent="0.35">
      <c r="B62" s="24"/>
      <c r="C62" s="23"/>
      <c r="D62" s="22"/>
      <c r="E62" s="21">
        <f t="shared" si="59"/>
        <v>1.35</v>
      </c>
      <c r="F62" s="20">
        <v>1.375</v>
      </c>
      <c r="G62" s="47">
        <v>244.6</v>
      </c>
      <c r="H62" s="18">
        <f t="shared" si="45"/>
        <v>7.9976458278838605</v>
      </c>
      <c r="I62" s="18">
        <v>13.05</v>
      </c>
      <c r="J62" s="18">
        <v>1.0900000000000001</v>
      </c>
      <c r="K62" s="18">
        <v>24.02</v>
      </c>
      <c r="L62" s="18">
        <v>0.59</v>
      </c>
      <c r="M62" s="17">
        <v>5</v>
      </c>
      <c r="N62" s="16">
        <f t="shared" si="46"/>
        <v>0.72727272727272729</v>
      </c>
      <c r="O62" s="15"/>
      <c r="P62" s="14">
        <v>28</v>
      </c>
      <c r="Q62" s="20">
        <v>1.375</v>
      </c>
      <c r="R62" s="26">
        <f t="shared" si="47"/>
        <v>7.9976458278838605</v>
      </c>
      <c r="S62" s="26">
        <f t="shared" si="48"/>
        <v>13.193812556869883</v>
      </c>
      <c r="T62" s="28">
        <f t="shared" si="49"/>
        <v>105.51943994933211</v>
      </c>
      <c r="U62" s="28">
        <f>SUM($R$59:R62)</f>
        <v>48.548260528380851</v>
      </c>
      <c r="V62" s="28">
        <f>SUM($T$59:T62)</f>
        <v>322.19574266855693</v>
      </c>
      <c r="W62" s="28">
        <f t="shared" si="50"/>
        <v>6.6366073503334766</v>
      </c>
      <c r="X62" s="28">
        <f>SUM(R62:$R$72)</f>
        <v>59.449385299503007</v>
      </c>
      <c r="Y62" s="27">
        <f>SUM(T62:$T$72)</f>
        <v>1845.6454221111896</v>
      </c>
      <c r="Z62" s="26">
        <f t="shared" si="51"/>
        <v>31.045660317813567</v>
      </c>
      <c r="AA62" s="26">
        <f t="shared" si="52"/>
        <v>44.549437614438922</v>
      </c>
      <c r="AB62" s="29">
        <f>SUM(R61:R64)</f>
        <v>29.705074548783674</v>
      </c>
      <c r="AJ62" s="14">
        <v>28</v>
      </c>
      <c r="AK62" s="20">
        <v>1.375</v>
      </c>
      <c r="AL62" s="26">
        <f t="shared" si="53"/>
        <v>7.562156067758286</v>
      </c>
      <c r="AM62" s="26">
        <f t="shared" si="54"/>
        <v>15.308375588074938</v>
      </c>
      <c r="AN62" s="28">
        <f t="shared" si="55"/>
        <v>115.76432534088372</v>
      </c>
      <c r="AO62" s="28">
        <f>SUM($AL$59:AL62)</f>
        <v>55.097494019454707</v>
      </c>
      <c r="AP62" s="28">
        <f>SUM($AN$59:AN62)</f>
        <v>444.87405371915747</v>
      </c>
      <c r="AQ62" s="28">
        <f t="shared" si="56"/>
        <v>8.0743064931786961</v>
      </c>
      <c r="AR62" s="28">
        <f>SUM(AL62:$AL$72)</f>
        <v>52.46466204830358</v>
      </c>
      <c r="AS62" s="27">
        <f>SUM(AN62:$AN$72)</f>
        <v>1719.6590597086804</v>
      </c>
      <c r="AT62" s="26">
        <f t="shared" si="57"/>
        <v>32.777473304324559</v>
      </c>
      <c r="AU62" s="26">
        <f t="shared" si="58"/>
        <v>51.316415985575567</v>
      </c>
      <c r="AV62" s="29">
        <f>SUM(AL61:AL64)</f>
        <v>27.734579732669353</v>
      </c>
    </row>
    <row r="63" spans="2:48" x14ac:dyDescent="0.35">
      <c r="B63" s="24"/>
      <c r="C63" s="23"/>
      <c r="D63" s="22"/>
      <c r="E63" s="21">
        <f t="shared" si="59"/>
        <v>1.375</v>
      </c>
      <c r="F63" s="20">
        <v>1.4</v>
      </c>
      <c r="G63" s="47">
        <v>233.9</v>
      </c>
      <c r="H63" s="18">
        <f t="shared" si="45"/>
        <v>7.6477896939576251</v>
      </c>
      <c r="I63" s="18">
        <v>15.32</v>
      </c>
      <c r="J63" s="18">
        <v>1.1000000000000001</v>
      </c>
      <c r="K63" s="18">
        <v>23.25</v>
      </c>
      <c r="L63" s="18">
        <v>0.53</v>
      </c>
      <c r="M63" s="17">
        <v>4.5</v>
      </c>
      <c r="N63" s="16">
        <f t="shared" si="46"/>
        <v>0.7142857142857143</v>
      </c>
      <c r="O63" s="15"/>
      <c r="P63" s="14">
        <v>35</v>
      </c>
      <c r="Q63" s="20">
        <v>1.4</v>
      </c>
      <c r="R63" s="26">
        <f t="shared" si="47"/>
        <v>7.6477896939576251</v>
      </c>
      <c r="S63" s="26">
        <f t="shared" si="48"/>
        <v>15.490394337714863</v>
      </c>
      <c r="T63" s="28">
        <f t="shared" si="49"/>
        <v>118.46727817131527</v>
      </c>
      <c r="U63" s="28">
        <f>SUM($R$59:R63)</f>
        <v>56.196050222338478</v>
      </c>
      <c r="V63" s="28">
        <f>SUM($T$59:T63)</f>
        <v>440.66302083987222</v>
      </c>
      <c r="W63" s="28">
        <f t="shared" si="50"/>
        <v>7.8415301270533844</v>
      </c>
      <c r="X63" s="28">
        <f>SUM(R63:$R$72)</f>
        <v>51.451739471619149</v>
      </c>
      <c r="Y63" s="27">
        <f>SUM(T63:$T$72)</f>
        <v>1740.1259821618576</v>
      </c>
      <c r="Z63" s="26">
        <f t="shared" si="51"/>
        <v>33.820547177451864</v>
      </c>
      <c r="AA63" s="26">
        <f t="shared" si="52"/>
        <v>52.372155375359668</v>
      </c>
      <c r="AB63" s="29">
        <f>SUM(R62:R65)</f>
        <v>29.731232016740776</v>
      </c>
      <c r="AJ63" s="14">
        <v>35</v>
      </c>
      <c r="AK63" s="20">
        <v>1.4</v>
      </c>
      <c r="AL63" s="26">
        <f t="shared" si="53"/>
        <v>6.7250536419877589</v>
      </c>
      <c r="AM63" s="26">
        <f t="shared" si="54"/>
        <v>17.199122929606641</v>
      </c>
      <c r="AN63" s="28">
        <f t="shared" si="55"/>
        <v>115.66502429674632</v>
      </c>
      <c r="AO63" s="28">
        <f>SUM($AL$59:AL63)</f>
        <v>61.822547661442464</v>
      </c>
      <c r="AP63" s="28">
        <f>SUM($AN$59:AN63)</f>
        <v>560.53907801590378</v>
      </c>
      <c r="AQ63" s="28">
        <f t="shared" si="56"/>
        <v>9.0669035686716164</v>
      </c>
      <c r="AR63" s="28">
        <f>SUM(AL63:$AL$72)</f>
        <v>44.9025059805453</v>
      </c>
      <c r="AS63" s="27">
        <f>SUM(AN63:$AN$72)</f>
        <v>1603.8947343677967</v>
      </c>
      <c r="AT63" s="26">
        <f t="shared" si="57"/>
        <v>35.719492695189636</v>
      </c>
      <c r="AU63" s="26">
        <f t="shared" si="58"/>
        <v>58.460020840448585</v>
      </c>
      <c r="AV63" s="29">
        <f>SUM(AL62:AL65)</f>
        <v>26.450318404952711</v>
      </c>
    </row>
    <row r="64" spans="2:48" x14ac:dyDescent="0.35">
      <c r="B64" s="24"/>
      <c r="C64" s="23"/>
      <c r="D64" s="22"/>
      <c r="E64" s="21">
        <f t="shared" si="59"/>
        <v>1.4</v>
      </c>
      <c r="F64" s="20">
        <v>1.425</v>
      </c>
      <c r="G64" s="47">
        <v>209.4</v>
      </c>
      <c r="H64" s="18">
        <f t="shared" si="45"/>
        <v>6.8467172377713839</v>
      </c>
      <c r="I64" s="18">
        <v>18.010000000000002</v>
      </c>
      <c r="J64" s="18">
        <v>1.04</v>
      </c>
      <c r="K64" s="18">
        <v>21.68</v>
      </c>
      <c r="L64" s="18">
        <v>0.57999999999999996</v>
      </c>
      <c r="M64" s="17">
        <v>3</v>
      </c>
      <c r="N64" s="16">
        <f t="shared" si="46"/>
        <v>0.70175438596491224</v>
      </c>
      <c r="O64" s="15"/>
      <c r="P64" s="14">
        <v>42</v>
      </c>
      <c r="Q64" s="20">
        <v>1.425</v>
      </c>
      <c r="R64" s="26">
        <f t="shared" si="47"/>
        <v>6.8467172377713839</v>
      </c>
      <c r="S64" s="26">
        <f t="shared" si="48"/>
        <v>18.19927243330639</v>
      </c>
      <c r="T64" s="28">
        <f t="shared" si="49"/>
        <v>124.60527228401642</v>
      </c>
      <c r="U64" s="28">
        <f>SUM($R$59:R64)</f>
        <v>63.042767460109864</v>
      </c>
      <c r="V64" s="28">
        <f>SUM($T$59:T64)</f>
        <v>565.26829312388861</v>
      </c>
      <c r="W64" s="28">
        <f t="shared" si="50"/>
        <v>8.9664257439453383</v>
      </c>
      <c r="X64" s="28">
        <f>SUM(R64:$R$72)</f>
        <v>43.803949777661522</v>
      </c>
      <c r="Y64" s="27">
        <f>SUM(T64:$T$72)</f>
        <v>1621.6587039905423</v>
      </c>
      <c r="Z64" s="26">
        <f t="shared" si="51"/>
        <v>37.020832875156188</v>
      </c>
      <c r="AA64" s="26">
        <f t="shared" si="52"/>
        <v>59.619408841224171</v>
      </c>
      <c r="AB64" s="29">
        <f>SUM(R63:R66)</f>
        <v>29.002092597436569</v>
      </c>
      <c r="AJ64" s="14">
        <v>42</v>
      </c>
      <c r="AK64" s="20">
        <v>1.425</v>
      </c>
      <c r="AL64" s="26">
        <f t="shared" si="53"/>
        <v>5.9342749620583968</v>
      </c>
      <c r="AM64" s="26">
        <f t="shared" si="54"/>
        <v>19.790953830070652</v>
      </c>
      <c r="AN64" s="28">
        <f t="shared" si="55"/>
        <v>117.444961789042</v>
      </c>
      <c r="AO64" s="28">
        <f>SUM($AL$59:AL64)</f>
        <v>67.756822623500867</v>
      </c>
      <c r="AP64" s="28">
        <f>SUM($AN$59:AN64)</f>
        <v>677.98403980494572</v>
      </c>
      <c r="AQ64" s="28">
        <f t="shared" si="56"/>
        <v>10.006136851668025</v>
      </c>
      <c r="AR64" s="28">
        <f>SUM(AL64:$AL$72)</f>
        <v>38.177452338557543</v>
      </c>
      <c r="AS64" s="27">
        <f>SUM(AN64:$AN$72)</f>
        <v>1488.2297100710502</v>
      </c>
      <c r="AT64" s="26">
        <f t="shared" si="57"/>
        <v>38.981902115244182</v>
      </c>
      <c r="AU64" s="26">
        <f t="shared" si="58"/>
        <v>64.789685142471669</v>
      </c>
      <c r="AV64" s="29">
        <f>SUM(AL63:AL66)</f>
        <v>24.64440422243257</v>
      </c>
    </row>
    <row r="65" spans="2:48" x14ac:dyDescent="0.35">
      <c r="B65" s="24"/>
      <c r="C65" s="23"/>
      <c r="D65" s="22"/>
      <c r="E65" s="21">
        <f t="shared" si="59"/>
        <v>1.425</v>
      </c>
      <c r="F65" s="20">
        <v>1.45</v>
      </c>
      <c r="G65" s="47">
        <v>221.4</v>
      </c>
      <c r="H65" s="18">
        <f t="shared" si="45"/>
        <v>7.2390792571279103</v>
      </c>
      <c r="I65" s="18">
        <v>20.73</v>
      </c>
      <c r="J65" s="18">
        <v>0.87</v>
      </c>
      <c r="K65" s="18">
        <v>20.88</v>
      </c>
      <c r="L65" s="18">
        <v>0.71</v>
      </c>
      <c r="M65" s="17">
        <v>1</v>
      </c>
      <c r="N65" s="16">
        <f t="shared" si="46"/>
        <v>0.68965517241379315</v>
      </c>
      <c r="O65" s="15"/>
      <c r="P65" s="14">
        <v>49</v>
      </c>
      <c r="Q65" s="20">
        <v>1.45</v>
      </c>
      <c r="R65" s="26">
        <f t="shared" si="47"/>
        <v>7.2390792571279103</v>
      </c>
      <c r="S65" s="26">
        <f t="shared" si="48"/>
        <v>20.911933824271159</v>
      </c>
      <c r="T65" s="28">
        <f t="shared" si="49"/>
        <v>151.38314637371289</v>
      </c>
      <c r="U65" s="28">
        <f>SUM($R$59:R65)</f>
        <v>70.281846717237769</v>
      </c>
      <c r="V65" s="28">
        <f>SUM($T$59:T65)</f>
        <v>716.65143949760147</v>
      </c>
      <c r="W65" s="28">
        <f t="shared" si="50"/>
        <v>10.196821412232913</v>
      </c>
      <c r="X65" s="28">
        <f>SUM(R65:$R$72)</f>
        <v>36.957232539890136</v>
      </c>
      <c r="Y65" s="27">
        <f>SUM(T65:$T$72)</f>
        <v>1497.0534317065258</v>
      </c>
      <c r="Z65" s="26">
        <f t="shared" si="51"/>
        <v>40.507725520049888</v>
      </c>
      <c r="AA65" s="26">
        <f t="shared" si="52"/>
        <v>66.662307088673813</v>
      </c>
      <c r="AB65" s="29">
        <f>SUM(R64:R67)</f>
        <v>28.122547737379023</v>
      </c>
      <c r="AJ65" s="14">
        <v>49</v>
      </c>
      <c r="AK65" s="20">
        <v>1.45</v>
      </c>
      <c r="AL65" s="26">
        <f t="shared" si="53"/>
        <v>6.228833733148269</v>
      </c>
      <c r="AM65" s="26">
        <f t="shared" si="54"/>
        <v>22.769766767738094</v>
      </c>
      <c r="AN65" s="28">
        <f t="shared" si="55"/>
        <v>141.82909133880545</v>
      </c>
      <c r="AO65" s="28">
        <f>SUM($AL$59:AL65)</f>
        <v>73.98565635664913</v>
      </c>
      <c r="AP65" s="28">
        <f>SUM($AN$59:AN65)</f>
        <v>819.81313114375121</v>
      </c>
      <c r="AQ65" s="28">
        <f t="shared" si="56"/>
        <v>11.080703632496384</v>
      </c>
      <c r="AR65" s="28">
        <f>SUM(AL65:$AL$72)</f>
        <v>32.243177376499148</v>
      </c>
      <c r="AS65" s="27">
        <f>SUM(AN65:$AN$72)</f>
        <v>1370.7847482820082</v>
      </c>
      <c r="AT65" s="26">
        <f t="shared" si="57"/>
        <v>42.513947439966699</v>
      </c>
      <c r="AU65" s="26">
        <f t="shared" si="58"/>
        <v>70.871239490074998</v>
      </c>
      <c r="AV65" s="29">
        <f>SUM(AL64:AL67)</f>
        <v>24.002304292926912</v>
      </c>
    </row>
    <row r="66" spans="2:48" x14ac:dyDescent="0.35">
      <c r="B66" s="24"/>
      <c r="C66" s="23"/>
      <c r="D66" s="22"/>
      <c r="E66" s="21">
        <f t="shared" si="59"/>
        <v>1.45</v>
      </c>
      <c r="F66" s="20">
        <v>1.5</v>
      </c>
      <c r="G66" s="47">
        <v>222.3</v>
      </c>
      <c r="H66" s="18">
        <f t="shared" si="45"/>
        <v>7.2685064085796505</v>
      </c>
      <c r="I66" s="18">
        <v>24.47</v>
      </c>
      <c r="J66" s="18">
        <v>0.91</v>
      </c>
      <c r="K66" s="18">
        <v>20.39</v>
      </c>
      <c r="L66" s="18">
        <v>0.59</v>
      </c>
      <c r="M66" s="17">
        <v>1</v>
      </c>
      <c r="N66" s="16">
        <f t="shared" si="46"/>
        <v>0.66666666666666663</v>
      </c>
      <c r="O66" s="15"/>
      <c r="P66" s="14">
        <v>56</v>
      </c>
      <c r="Q66" s="20">
        <v>1.5</v>
      </c>
      <c r="R66" s="26">
        <f t="shared" si="47"/>
        <v>7.2685064085796505</v>
      </c>
      <c r="S66" s="26">
        <f t="shared" si="48"/>
        <v>24.694721969926327</v>
      </c>
      <c r="T66" s="28">
        <f t="shared" si="49"/>
        <v>179.49374489650219</v>
      </c>
      <c r="U66" s="28">
        <f>SUM($R$59:R66)</f>
        <v>77.550353125817423</v>
      </c>
      <c r="V66" s="28">
        <f>SUM($T$59:T66)</f>
        <v>896.14518439410369</v>
      </c>
      <c r="W66" s="28">
        <f t="shared" si="50"/>
        <v>11.555655754915788</v>
      </c>
      <c r="X66" s="28">
        <f>SUM(R66:$R$72)</f>
        <v>29.718153282762223</v>
      </c>
      <c r="Y66" s="27">
        <f>SUM(T66:$T$72)</f>
        <v>1345.6702853328129</v>
      </c>
      <c r="Z66" s="26">
        <f t="shared" si="51"/>
        <v>45.281087035558102</v>
      </c>
      <c r="AA66" s="26">
        <f t="shared" si="52"/>
        <v>73.916099921527604</v>
      </c>
      <c r="AB66" s="29"/>
      <c r="AJ66" s="14">
        <v>56</v>
      </c>
      <c r="AK66" s="20">
        <v>1.5</v>
      </c>
      <c r="AL66" s="26">
        <f t="shared" si="53"/>
        <v>5.7562418852381452</v>
      </c>
      <c r="AM66" s="26">
        <f t="shared" si="54"/>
        <v>24.703688506272155</v>
      </c>
      <c r="AN66" s="28">
        <f t="shared" si="55"/>
        <v>142.20040649967993</v>
      </c>
      <c r="AO66" s="28">
        <f>SUM($AL$59:AL66)</f>
        <v>79.74189824188727</v>
      </c>
      <c r="AP66" s="28">
        <f>SUM($AN$59:AN66)</f>
        <v>962.01353764343116</v>
      </c>
      <c r="AQ66" s="28">
        <f t="shared" si="56"/>
        <v>12.06409126009618</v>
      </c>
      <c r="AR66" s="28">
        <f>SUM(AL66:$AL$72)</f>
        <v>26.014343643350877</v>
      </c>
      <c r="AS66" s="27">
        <f>SUM(AN66:$AN$72)</f>
        <v>1228.9556569432027</v>
      </c>
      <c r="AT66" s="26">
        <f t="shared" si="57"/>
        <v>47.241463163239061</v>
      </c>
      <c r="AU66" s="26">
        <f t="shared" si="58"/>
        <v>76.863777299268193</v>
      </c>
      <c r="AV66" s="29"/>
    </row>
    <row r="67" spans="2:48" x14ac:dyDescent="0.35">
      <c r="B67" s="24"/>
      <c r="C67" s="23"/>
      <c r="D67" s="22"/>
      <c r="E67" s="21">
        <f t="shared" si="59"/>
        <v>1.5</v>
      </c>
      <c r="F67" s="20">
        <v>1.6</v>
      </c>
      <c r="G67" s="47">
        <v>207</v>
      </c>
      <c r="H67" s="18">
        <f t="shared" si="45"/>
        <v>6.768244833900078</v>
      </c>
      <c r="I67" s="18">
        <v>30.29</v>
      </c>
      <c r="J67" s="18">
        <v>1.01</v>
      </c>
      <c r="K67" s="18">
        <v>19.54</v>
      </c>
      <c r="L67" s="18">
        <v>0.64</v>
      </c>
      <c r="M67" s="17">
        <v>1</v>
      </c>
      <c r="N67" s="16">
        <f t="shared" si="46"/>
        <v>0.625</v>
      </c>
      <c r="O67" s="15"/>
      <c r="P67" s="14">
        <v>63</v>
      </c>
      <c r="Q67" s="20">
        <v>1.6</v>
      </c>
      <c r="R67" s="26">
        <f t="shared" si="47"/>
        <v>6.768244833900078</v>
      </c>
      <c r="S67" s="26">
        <f t="shared" si="48"/>
        <v>30.599050409132236</v>
      </c>
      <c r="T67" s="28">
        <f t="shared" si="49"/>
        <v>207.10186485385734</v>
      </c>
      <c r="U67" s="28">
        <f>SUM($R$59:R67)</f>
        <v>84.318597959717508</v>
      </c>
      <c r="V67" s="28">
        <f>SUM($T$59:T67)</f>
        <v>1103.2470492479611</v>
      </c>
      <c r="W67" s="28">
        <f t="shared" si="50"/>
        <v>13.084267005661408</v>
      </c>
      <c r="X67" s="28">
        <f>SUM(R67:$R$72)</f>
        <v>22.449646874182577</v>
      </c>
      <c r="Y67" s="27">
        <f>SUM(T67:$T$72)</f>
        <v>1166.1765404363107</v>
      </c>
      <c r="Z67" s="26">
        <f t="shared" si="51"/>
        <v>51.946320001025533</v>
      </c>
      <c r="AA67" s="26">
        <f t="shared" si="52"/>
        <v>80.934475542767473</v>
      </c>
      <c r="AB67" s="29">
        <f>SUM(R66:R68)</f>
        <v>16.897724300287731</v>
      </c>
      <c r="AJ67" s="14">
        <v>63</v>
      </c>
      <c r="AK67" s="20">
        <v>1.6</v>
      </c>
      <c r="AL67" s="26">
        <f t="shared" si="53"/>
        <v>6.0829537124820972</v>
      </c>
      <c r="AM67" s="26">
        <f t="shared" si="54"/>
        <v>33.584199131183169</v>
      </c>
      <c r="AN67" s="28">
        <f t="shared" si="55"/>
        <v>204.29112878576868</v>
      </c>
      <c r="AO67" s="28">
        <f>SUM($AL$59:AL67)</f>
        <v>85.824851954369365</v>
      </c>
      <c r="AP67" s="28">
        <f>SUM($AN$59:AN67)</f>
        <v>1166.3046664291999</v>
      </c>
      <c r="AQ67" s="28">
        <f t="shared" si="56"/>
        <v>13.589358325363508</v>
      </c>
      <c r="AR67" s="28">
        <f>SUM(AL67:$AL$72)</f>
        <v>20.258101758112733</v>
      </c>
      <c r="AS67" s="27">
        <f>SUM(AN67:$AN$72)</f>
        <v>1086.755250443523</v>
      </c>
      <c r="AT67" s="26">
        <f t="shared" si="57"/>
        <v>53.645463105066675</v>
      </c>
      <c r="AU67" s="26">
        <f t="shared" si="58"/>
        <v>82.783375098128317</v>
      </c>
      <c r="AV67" s="29">
        <f>SUM(AL66:AL68)</f>
        <v>14.106140246930833</v>
      </c>
    </row>
    <row r="68" spans="2:48" x14ac:dyDescent="0.35">
      <c r="B68" s="24"/>
      <c r="C68" s="23"/>
      <c r="D68" s="22"/>
      <c r="E68" s="21">
        <f t="shared" si="59"/>
        <v>1.6</v>
      </c>
      <c r="F68" s="20">
        <v>1.7</v>
      </c>
      <c r="G68" s="47">
        <v>87.5</v>
      </c>
      <c r="H68" s="18">
        <f t="shared" si="45"/>
        <v>2.8609730578080041</v>
      </c>
      <c r="I68" s="18">
        <v>38.299999999999997</v>
      </c>
      <c r="J68" s="18">
        <v>1.27</v>
      </c>
      <c r="K68" s="18">
        <v>18.77</v>
      </c>
      <c r="L68" s="18">
        <v>0.72</v>
      </c>
      <c r="M68" s="17">
        <v>0</v>
      </c>
      <c r="N68" s="16">
        <f t="shared" si="46"/>
        <v>0.58823529411764708</v>
      </c>
      <c r="O68" s="15"/>
      <c r="P68" s="14">
        <v>70</v>
      </c>
      <c r="Q68" s="20">
        <v>1.7</v>
      </c>
      <c r="R68" s="26">
        <f t="shared" si="47"/>
        <v>2.8609730578080041</v>
      </c>
      <c r="S68" s="26">
        <f t="shared" si="48"/>
        <v>38.792666869239333</v>
      </c>
      <c r="T68" s="28">
        <f t="shared" si="49"/>
        <v>110.98477475341491</v>
      </c>
      <c r="U68" s="28">
        <f>SUM($R$59:R68)</f>
        <v>87.179571017525518</v>
      </c>
      <c r="V68" s="28">
        <f>SUM($T$59:T68)</f>
        <v>1214.231824001376</v>
      </c>
      <c r="W68" s="28">
        <f t="shared" si="50"/>
        <v>13.927939881205445</v>
      </c>
      <c r="X68" s="28">
        <f>SUM(R68:$R$72)</f>
        <v>15.681402040282499</v>
      </c>
      <c r="Y68" s="27">
        <f>SUM(T68:$T$72)</f>
        <v>959.07467558245344</v>
      </c>
      <c r="Z68" s="26">
        <f t="shared" si="51"/>
        <v>61.160008085933605</v>
      </c>
      <c r="AA68" s="26">
        <f t="shared" si="52"/>
        <v>85.74908448862152</v>
      </c>
      <c r="AB68" s="29">
        <f>SUM(R68:R69)</f>
        <v>5.012424797279623</v>
      </c>
      <c r="AJ68" s="14">
        <v>70</v>
      </c>
      <c r="AK68" s="20">
        <v>1.7</v>
      </c>
      <c r="AL68" s="26">
        <f t="shared" si="53"/>
        <v>2.266944649210592</v>
      </c>
      <c r="AM68" s="26">
        <f t="shared" si="54"/>
        <v>38.813181176915279</v>
      </c>
      <c r="AN68" s="28">
        <f t="shared" si="55"/>
        <v>87.987333387849361</v>
      </c>
      <c r="AO68" s="28">
        <f>SUM($AL$59:AL68)</f>
        <v>88.091796603579951</v>
      </c>
      <c r="AP68" s="28">
        <f>SUM($AN$59:AN68)</f>
        <v>1254.2919998170491</v>
      </c>
      <c r="AQ68" s="28">
        <f t="shared" si="56"/>
        <v>14.238465421036448</v>
      </c>
      <c r="AR68" s="28">
        <f>SUM(AL68:$AL$72)</f>
        <v>14.175148045630637</v>
      </c>
      <c r="AS68" s="27">
        <f>SUM(AN68:$AN$72)</f>
        <v>882.46412165775428</v>
      </c>
      <c r="AT68" s="26">
        <f t="shared" si="57"/>
        <v>62.254314298309282</v>
      </c>
      <c r="AU68" s="26">
        <f t="shared" si="58"/>
        <v>86.958324278974658</v>
      </c>
      <c r="AV68" s="29">
        <f>SUM(AL68:AL69)</f>
        <v>4.3456069123463852</v>
      </c>
    </row>
    <row r="69" spans="2:48" x14ac:dyDescent="0.35">
      <c r="B69" s="24"/>
      <c r="C69" s="23"/>
      <c r="D69" s="22"/>
      <c r="E69" s="21">
        <f t="shared" si="59"/>
        <v>1.7</v>
      </c>
      <c r="F69" s="20">
        <v>1.8</v>
      </c>
      <c r="G69" s="47">
        <v>65.8</v>
      </c>
      <c r="H69" s="18">
        <f t="shared" si="45"/>
        <v>2.1514517394716193</v>
      </c>
      <c r="I69" s="18">
        <v>45.92</v>
      </c>
      <c r="J69" s="18">
        <v>1.1200000000000001</v>
      </c>
      <c r="K69" s="18">
        <v>16.98</v>
      </c>
      <c r="L69" s="18">
        <v>0.82</v>
      </c>
      <c r="M69" s="17">
        <v>0</v>
      </c>
      <c r="N69" s="16">
        <f t="shared" si="46"/>
        <v>0.55555555555555558</v>
      </c>
      <c r="O69" s="15"/>
      <c r="P69" s="14">
        <v>77</v>
      </c>
      <c r="Q69" s="20">
        <v>1.8</v>
      </c>
      <c r="R69" s="26">
        <f t="shared" si="47"/>
        <v>2.1514517394716193</v>
      </c>
      <c r="S69" s="26">
        <f t="shared" si="48"/>
        <v>46.440129449838189</v>
      </c>
      <c r="T69" s="28">
        <f t="shared" si="49"/>
        <v>99.913697286141542</v>
      </c>
      <c r="U69" s="28">
        <f>SUM($R$59:R69)</f>
        <v>89.331022756997143</v>
      </c>
      <c r="V69" s="28">
        <f>SUM($T$59:T69)</f>
        <v>1314.1455212875176</v>
      </c>
      <c r="W69" s="28">
        <f t="shared" si="50"/>
        <v>14.710964687623962</v>
      </c>
      <c r="X69" s="28">
        <f>SUM(R69:$R$72)</f>
        <v>12.820428982474496</v>
      </c>
      <c r="Y69" s="27">
        <f>SUM(T69:$T$72)</f>
        <v>848.08990082903847</v>
      </c>
      <c r="Z69" s="26">
        <f t="shared" si="51"/>
        <v>66.151444853239767</v>
      </c>
      <c r="AA69" s="26">
        <f t="shared" si="52"/>
        <v>88.255296887261338</v>
      </c>
      <c r="AB69" s="29">
        <f>SUM(R69:R70)</f>
        <v>4.8979858749673033</v>
      </c>
      <c r="AJ69" s="14">
        <v>77</v>
      </c>
      <c r="AK69" s="20">
        <v>1.8</v>
      </c>
      <c r="AL69" s="26">
        <f t="shared" si="53"/>
        <v>2.0786622631357927</v>
      </c>
      <c r="AM69" s="26">
        <f t="shared" si="54"/>
        <v>49.199733514894334</v>
      </c>
      <c r="AN69" s="28">
        <f t="shared" si="55"/>
        <v>102.26962941374816</v>
      </c>
      <c r="AO69" s="28">
        <f>SUM($AL$59:AL69)</f>
        <v>90.170458866715748</v>
      </c>
      <c r="AP69" s="28">
        <f>SUM($AN$59:AN69)</f>
        <v>1356.5616292307973</v>
      </c>
      <c r="AQ69" s="28">
        <f t="shared" si="56"/>
        <v>15.044413062552788</v>
      </c>
      <c r="AR69" s="28">
        <f>SUM(AL69:$AL$72)</f>
        <v>11.908203396420044</v>
      </c>
      <c r="AS69" s="27">
        <f>SUM(AN69:$AN$72)</f>
        <v>794.47678826990477</v>
      </c>
      <c r="AT69" s="26">
        <f t="shared" si="57"/>
        <v>66.716763379163297</v>
      </c>
      <c r="AU69" s="26">
        <f t="shared" si="58"/>
        <v>89.131127735147857</v>
      </c>
      <c r="AV69" s="29">
        <f>SUM(AL69:AL70)</f>
        <v>5.1182968305956216</v>
      </c>
    </row>
    <row r="70" spans="2:48" x14ac:dyDescent="0.35">
      <c r="B70" s="24"/>
      <c r="C70" s="23"/>
      <c r="D70" s="22"/>
      <c r="E70" s="21">
        <f t="shared" si="59"/>
        <v>1.8</v>
      </c>
      <c r="F70" s="20">
        <v>2</v>
      </c>
      <c r="G70" s="47">
        <v>84</v>
      </c>
      <c r="H70" s="18">
        <f t="shared" si="45"/>
        <v>2.746534135495684</v>
      </c>
      <c r="I70" s="18">
        <v>55.23</v>
      </c>
      <c r="J70" s="18">
        <v>1.25</v>
      </c>
      <c r="K70" s="18">
        <v>12.5</v>
      </c>
      <c r="L70" s="18">
        <v>1.1299999999999999</v>
      </c>
      <c r="M70" s="17">
        <v>0</v>
      </c>
      <c r="N70" s="16">
        <f t="shared" si="46"/>
        <v>0.5</v>
      </c>
      <c r="O70" s="15"/>
      <c r="P70" s="14">
        <v>84</v>
      </c>
      <c r="Q70" s="20">
        <v>2</v>
      </c>
      <c r="R70" s="26">
        <f t="shared" si="47"/>
        <v>2.746534135495684</v>
      </c>
      <c r="S70" s="26">
        <f t="shared" si="48"/>
        <v>55.929113924050633</v>
      </c>
      <c r="T70" s="28">
        <f t="shared" si="49"/>
        <v>153.61122056043203</v>
      </c>
      <c r="U70" s="28">
        <f>SUM($R$59:R70)</f>
        <v>92.077556892492822</v>
      </c>
      <c r="V70" s="28">
        <f>SUM($T$59:T70)</f>
        <v>1467.7567418479496</v>
      </c>
      <c r="W70" s="28">
        <f t="shared" si="50"/>
        <v>15.94043968349053</v>
      </c>
      <c r="X70" s="28">
        <f>SUM(R70:$R$72)</f>
        <v>10.668977243002876</v>
      </c>
      <c r="Y70" s="27">
        <f>SUM(T70:$T$72)</f>
        <v>748.17620354289693</v>
      </c>
      <c r="Z70" s="26">
        <f t="shared" si="51"/>
        <v>70.126328560085696</v>
      </c>
      <c r="AA70" s="26">
        <f t="shared" si="52"/>
        <v>90.704289824744976</v>
      </c>
      <c r="AB70" s="25"/>
      <c r="AJ70" s="14">
        <v>84</v>
      </c>
      <c r="AK70" s="20">
        <v>2</v>
      </c>
      <c r="AL70" s="26">
        <f t="shared" si="53"/>
        <v>3.0396345674598293</v>
      </c>
      <c r="AM70" s="26">
        <f t="shared" si="54"/>
        <v>60.163208993474512</v>
      </c>
      <c r="AN70" s="28">
        <f t="shared" si="55"/>
        <v>182.87416974587521</v>
      </c>
      <c r="AO70" s="28">
        <f>SUM($AL$59:AL70)</f>
        <v>93.210093434175576</v>
      </c>
      <c r="AP70" s="28">
        <f>SUM($AN$59:AN70)</f>
        <v>1539.4357989766725</v>
      </c>
      <c r="AQ70" s="28">
        <f t="shared" si="56"/>
        <v>16.515762856345734</v>
      </c>
      <c r="AR70" s="28">
        <f>SUM(AL70:$AL$72)</f>
        <v>9.8295411332842519</v>
      </c>
      <c r="AS70" s="27">
        <f>SUM(AN70:$AN$72)</f>
        <v>692.20715885615664</v>
      </c>
      <c r="AT70" s="26">
        <f t="shared" si="57"/>
        <v>70.421106079127412</v>
      </c>
      <c r="AU70" s="26">
        <f t="shared" si="58"/>
        <v>91.690276150445655</v>
      </c>
      <c r="AV70" s="25"/>
    </row>
    <row r="71" spans="2:48" x14ac:dyDescent="0.35">
      <c r="B71" s="24"/>
      <c r="C71" s="23"/>
      <c r="D71" s="22"/>
      <c r="E71" s="21">
        <f t="shared" si="59"/>
        <v>2</v>
      </c>
      <c r="F71" s="20">
        <v>2.2000000000000002</v>
      </c>
      <c r="G71" s="47">
        <v>71.599999999999994</v>
      </c>
      <c r="H71" s="18">
        <f t="shared" si="45"/>
        <v>2.3410933821606066</v>
      </c>
      <c r="I71" s="18">
        <v>67.069999999999993</v>
      </c>
      <c r="J71" s="18">
        <v>1.3</v>
      </c>
      <c r="K71" s="18">
        <v>14.59</v>
      </c>
      <c r="L71" s="18">
        <v>1.57</v>
      </c>
      <c r="M71" s="17">
        <v>0</v>
      </c>
      <c r="N71" s="16">
        <f t="shared" si="46"/>
        <v>0.45454545454545453</v>
      </c>
      <c r="O71" s="15"/>
      <c r="P71" s="14">
        <v>91</v>
      </c>
      <c r="Q71" s="20">
        <v>2.2000000000000002</v>
      </c>
      <c r="R71" s="26">
        <f t="shared" si="47"/>
        <v>2.3410933821606066</v>
      </c>
      <c r="S71" s="26">
        <f t="shared" si="48"/>
        <v>67.953394123606884</v>
      </c>
      <c r="T71" s="28">
        <f t="shared" si="49"/>
        <v>159.08524127812754</v>
      </c>
      <c r="U71" s="28">
        <f>SUM($R$59:R71)</f>
        <v>94.41865027465343</v>
      </c>
      <c r="V71" s="28">
        <f>SUM($T$59:T71)</f>
        <v>1626.8419831260771</v>
      </c>
      <c r="W71" s="28">
        <f t="shared" si="50"/>
        <v>17.230091495629026</v>
      </c>
      <c r="X71" s="28">
        <f>SUM(R71:$R$72)</f>
        <v>7.9224431075071919</v>
      </c>
      <c r="Y71" s="27">
        <f>SUM(T71:$T$72)</f>
        <v>594.56498298246481</v>
      </c>
      <c r="Z71" s="26">
        <f t="shared" si="51"/>
        <v>75.048185883350001</v>
      </c>
      <c r="AA71" s="26">
        <f t="shared" si="52"/>
        <v>93.248103583573126</v>
      </c>
      <c r="AB71" s="25"/>
      <c r="AJ71" s="14">
        <v>91</v>
      </c>
      <c r="AK71" s="20">
        <v>2.2000000000000002</v>
      </c>
      <c r="AL71" s="26">
        <f t="shared" si="53"/>
        <v>2.1986805535757434</v>
      </c>
      <c r="AM71" s="26">
        <f t="shared" si="54"/>
        <v>68.946340043995576</v>
      </c>
      <c r="AN71" s="28">
        <f t="shared" si="55"/>
        <v>151.59097709495364</v>
      </c>
      <c r="AO71" s="28">
        <f>SUM($AL$59:AL71)</f>
        <v>95.408773987751317</v>
      </c>
      <c r="AP71" s="28">
        <f>SUM($AN$59:AN71)</f>
        <v>1691.026776071626</v>
      </c>
      <c r="AQ71" s="28">
        <f t="shared" si="56"/>
        <v>17.724017460791625</v>
      </c>
      <c r="AR71" s="28">
        <f>SUM(AL71:$AL$72)</f>
        <v>6.7899065658244222</v>
      </c>
      <c r="AS71" s="27">
        <f>SUM(AN71:$AN$72)</f>
        <v>509.33298911028146</v>
      </c>
      <c r="AT71" s="26">
        <f t="shared" si="57"/>
        <v>75.013254478920629</v>
      </c>
      <c r="AU71" s="26">
        <f t="shared" si="58"/>
        <v>94.309433710963447</v>
      </c>
      <c r="AV71" s="25"/>
    </row>
    <row r="72" spans="2:48" x14ac:dyDescent="0.35">
      <c r="B72" s="24"/>
      <c r="C72" s="23"/>
      <c r="D72" s="22"/>
      <c r="E72" s="21">
        <f t="shared" si="59"/>
        <v>2.2000000000000002</v>
      </c>
      <c r="F72" s="20">
        <v>2.8</v>
      </c>
      <c r="G72" s="47">
        <v>170.7</v>
      </c>
      <c r="H72" s="18">
        <f t="shared" si="45"/>
        <v>5.5813497253465858</v>
      </c>
      <c r="I72" s="18">
        <v>77.08</v>
      </c>
      <c r="J72" s="18">
        <v>1.21</v>
      </c>
      <c r="K72" s="18">
        <v>13.9</v>
      </c>
      <c r="L72" s="18">
        <v>3.18</v>
      </c>
      <c r="M72" s="17">
        <v>0</v>
      </c>
      <c r="N72" s="16">
        <f t="shared" si="46"/>
        <v>0.35714285714285715</v>
      </c>
      <c r="O72" s="15"/>
      <c r="P72" s="14">
        <v>98</v>
      </c>
      <c r="Q72" s="13">
        <v>2.8</v>
      </c>
      <c r="R72" s="10">
        <f t="shared" si="47"/>
        <v>5.5813497253465858</v>
      </c>
      <c r="S72" s="10">
        <f t="shared" si="48"/>
        <v>78.024091507237571</v>
      </c>
      <c r="T72" s="12">
        <f t="shared" si="49"/>
        <v>435.4797417043373</v>
      </c>
      <c r="U72" s="12">
        <f>SUM($R$59:R72)</f>
        <v>100.00000000000001</v>
      </c>
      <c r="V72" s="12">
        <f>SUM($T$59:T72)</f>
        <v>2062.3217248304145</v>
      </c>
      <c r="W72" s="12">
        <f t="shared" si="50"/>
        <v>20.62321724830414</v>
      </c>
      <c r="X72" s="12">
        <f>SUM(R72:$R$72)</f>
        <v>5.5813497253465858</v>
      </c>
      <c r="Y72" s="11">
        <f>SUM(T72:$T$72)</f>
        <v>435.4797417043373</v>
      </c>
      <c r="Z72" s="10">
        <f t="shared" si="51"/>
        <v>78.024091507237571</v>
      </c>
      <c r="AA72" s="10">
        <f t="shared" si="52"/>
        <v>97.209325137326715</v>
      </c>
      <c r="AB72" s="9"/>
      <c r="AJ72" s="14">
        <v>98</v>
      </c>
      <c r="AK72" s="13">
        <v>2.8</v>
      </c>
      <c r="AL72" s="10">
        <f t="shared" si="53"/>
        <v>4.5912260122486792</v>
      </c>
      <c r="AM72" s="10">
        <f t="shared" si="54"/>
        <v>77.918623709860412</v>
      </c>
      <c r="AN72" s="12">
        <f t="shared" si="55"/>
        <v>357.74201201532782</v>
      </c>
      <c r="AO72" s="12">
        <f>SUM($AL$59:AL72)</f>
        <v>100</v>
      </c>
      <c r="AP72" s="12">
        <f>SUM($AN$59:AN72)</f>
        <v>2048.7687880869539</v>
      </c>
      <c r="AQ72" s="12">
        <f t="shared" si="56"/>
        <v>20.48768788086954</v>
      </c>
      <c r="AR72" s="12">
        <f>SUM(AL72:$AL$72)</f>
        <v>4.5912260122486792</v>
      </c>
      <c r="AS72" s="11">
        <f>SUM(AN72:$AN$72)</f>
        <v>357.74201201532782</v>
      </c>
      <c r="AT72" s="10">
        <f t="shared" si="57"/>
        <v>77.918623709860412</v>
      </c>
      <c r="AU72" s="10">
        <f t="shared" si="58"/>
        <v>97.704386993875659</v>
      </c>
      <c r="AV72" s="9"/>
    </row>
    <row r="73" spans="2:48" x14ac:dyDescent="0.35">
      <c r="B73" s="94" t="s">
        <v>0</v>
      </c>
      <c r="C73" s="95"/>
      <c r="D73" s="95"/>
      <c r="E73" s="8"/>
      <c r="F73" s="7"/>
      <c r="G73" s="6">
        <f>SUM(G59:G72)</f>
        <v>3058.4</v>
      </c>
      <c r="H73" s="5">
        <f>SUM(H59:H72)</f>
        <v>100.00000000000001</v>
      </c>
      <c r="I73" s="4">
        <f>SUMPRODUCT($H$59:$H$72,I59:I72)/$H$73</f>
        <v>20.396286293486785</v>
      </c>
      <c r="J73" s="4">
        <f>SUMPRODUCT($H$59:$H$72,J59:J72)/$H$73</f>
        <v>1.0466283023803296</v>
      </c>
      <c r="K73" s="4">
        <f>SUMPRODUCT($H$59:$H$72,K59:K72)/$H$73</f>
        <v>23.107222730839649</v>
      </c>
      <c r="L73" s="4">
        <f>SUMPRODUCT($H$59:$H$72,L59:L72)/$H$73</f>
        <v>0.86487869474234869</v>
      </c>
      <c r="M73" s="3">
        <f>SUMPRODUCT($H$59:$H$72,M59:M72)/$H$73</f>
        <v>4.6065099398378226</v>
      </c>
      <c r="N73" s="2"/>
      <c r="O73" s="2"/>
    </row>
    <row r="74" spans="2:48" ht="36.65" customHeight="1" x14ac:dyDescent="0.35">
      <c r="B74" s="46" t="s">
        <v>4</v>
      </c>
      <c r="C74" s="45" t="s">
        <v>3</v>
      </c>
      <c r="D74" s="44">
        <f>[1]Pretreatment!R47</f>
        <v>6.1601642710472273</v>
      </c>
      <c r="E74" s="33"/>
      <c r="F74" s="33"/>
      <c r="G74" s="43"/>
      <c r="H74" s="33"/>
      <c r="I74" s="33"/>
      <c r="J74" s="33"/>
      <c r="K74" s="33"/>
      <c r="L74" s="33"/>
      <c r="M74" s="33"/>
      <c r="N74" s="42" t="s">
        <v>2</v>
      </c>
      <c r="O74" s="42"/>
      <c r="P74" s="41"/>
      <c r="Q74" s="103" t="s">
        <v>1</v>
      </c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40">
        <f>D74</f>
        <v>6.1601642710472273</v>
      </c>
    </row>
    <row r="75" spans="2:48" x14ac:dyDescent="0.35">
      <c r="B75" s="24"/>
      <c r="C75" s="23"/>
      <c r="D75" s="22"/>
      <c r="E75" s="39">
        <v>1.25</v>
      </c>
      <c r="F75" s="20">
        <v>1.3</v>
      </c>
      <c r="G75" s="19">
        <v>586.79999999999995</v>
      </c>
      <c r="H75" s="18">
        <f t="shared" ref="H75:H88" si="60">G75/$G$89*100</f>
        <v>56.548135299219439</v>
      </c>
      <c r="I75" s="18">
        <v>7.56</v>
      </c>
      <c r="J75" s="18">
        <v>1.17</v>
      </c>
      <c r="K75" s="18">
        <v>26.61</v>
      </c>
      <c r="L75" s="18">
        <v>0.68</v>
      </c>
      <c r="M75" s="17">
        <v>8.5</v>
      </c>
      <c r="N75" s="16">
        <f t="shared" ref="N75:N88" si="61">1/Q75</f>
        <v>0.76923076923076916</v>
      </c>
      <c r="O75" s="15"/>
      <c r="P75" s="14">
        <v>7</v>
      </c>
      <c r="Q75" s="38">
        <v>1.3</v>
      </c>
      <c r="R75" s="35">
        <f t="shared" ref="R75:R88" si="62">H75</f>
        <v>56.548135299219439</v>
      </c>
      <c r="S75" s="35">
        <f t="shared" ref="S75:S88" si="63">I75*100/(100-J75)</f>
        <v>7.6494991399372658</v>
      </c>
      <c r="T75" s="37">
        <f t="shared" ref="T75:T88" si="64">R75*S75</f>
        <v>432.56491233643521</v>
      </c>
      <c r="U75" s="37">
        <f>SUM($R$75:R75)</f>
        <v>56.548135299219439</v>
      </c>
      <c r="V75" s="37">
        <f>SUM($T$75:T75)</f>
        <v>432.56491233643521</v>
      </c>
      <c r="W75" s="37">
        <f t="shared" ref="W75:W88" si="65">V75/U75</f>
        <v>7.6494991399372649</v>
      </c>
      <c r="X75" s="37">
        <f>SUM(R75:$R$88)</f>
        <v>100.00000000000001</v>
      </c>
      <c r="Y75" s="36">
        <f>SUM(T75:$T$88)</f>
        <v>1997.2676284618035</v>
      </c>
      <c r="Z75" s="35">
        <f t="shared" ref="Z75:Z88" si="66">Y75/X75</f>
        <v>19.972676284618032</v>
      </c>
      <c r="AA75" s="34">
        <f t="shared" ref="AA75:AA88" si="67">U75-R75/2</f>
        <v>28.274067649609719</v>
      </c>
      <c r="AB75" s="33"/>
    </row>
    <row r="76" spans="2:48" x14ac:dyDescent="0.35">
      <c r="B76" s="24"/>
      <c r="C76" s="23"/>
      <c r="D76" s="22"/>
      <c r="E76" s="21">
        <f t="shared" ref="E76:E88" si="68">F75</f>
        <v>1.3</v>
      </c>
      <c r="F76" s="20">
        <v>1.325</v>
      </c>
      <c r="G76" s="19">
        <v>92.1</v>
      </c>
      <c r="H76" s="18">
        <f t="shared" si="60"/>
        <v>8.8753975137322936</v>
      </c>
      <c r="I76" s="18">
        <v>17.059999999999999</v>
      </c>
      <c r="J76" s="18">
        <v>1.18</v>
      </c>
      <c r="K76" s="18">
        <v>22.14</v>
      </c>
      <c r="L76" s="18">
        <v>0.61</v>
      </c>
      <c r="M76" s="17">
        <v>4.5</v>
      </c>
      <c r="N76" s="16">
        <f t="shared" si="61"/>
        <v>0.75471698113207553</v>
      </c>
      <c r="O76" s="15"/>
      <c r="P76" s="14">
        <v>14</v>
      </c>
      <c r="Q76" s="20">
        <v>1.325</v>
      </c>
      <c r="R76" s="26">
        <f t="shared" si="62"/>
        <v>8.8753975137322936</v>
      </c>
      <c r="S76" s="26">
        <f t="shared" si="63"/>
        <v>17.263711799230922</v>
      </c>
      <c r="T76" s="28">
        <f t="shared" si="64"/>
        <v>153.22230478068499</v>
      </c>
      <c r="U76" s="28">
        <f>SUM($R$75:R76)</f>
        <v>65.423532812951734</v>
      </c>
      <c r="V76" s="28">
        <f>SUM($T$75:T76)</f>
        <v>585.78721711712024</v>
      </c>
      <c r="W76" s="28">
        <f t="shared" si="65"/>
        <v>8.9537692620774134</v>
      </c>
      <c r="X76" s="28">
        <f>SUM(R76:$R$88)</f>
        <v>43.451864700780575</v>
      </c>
      <c r="Y76" s="27">
        <f>SUM(T76:$T$88)</f>
        <v>1564.7027161253684</v>
      </c>
      <c r="Z76" s="26">
        <f t="shared" si="66"/>
        <v>36.010024584681631</v>
      </c>
      <c r="AA76" s="26">
        <f t="shared" si="67"/>
        <v>60.985834056085586</v>
      </c>
      <c r="AB76" s="25"/>
    </row>
    <row r="77" spans="2:48" x14ac:dyDescent="0.35">
      <c r="B77" s="24"/>
      <c r="C77" s="23"/>
      <c r="D77" s="22"/>
      <c r="E77" s="21">
        <f t="shared" si="68"/>
        <v>1.325</v>
      </c>
      <c r="F77" s="20">
        <v>1.35</v>
      </c>
      <c r="G77" s="19">
        <v>89.8</v>
      </c>
      <c r="H77" s="18">
        <f t="shared" si="60"/>
        <v>8.6537534933024975</v>
      </c>
      <c r="I77" s="18">
        <v>19.47</v>
      </c>
      <c r="J77" s="18">
        <v>1.22</v>
      </c>
      <c r="K77" s="18">
        <v>21.26</v>
      </c>
      <c r="L77" s="18">
        <v>0.57999999999999996</v>
      </c>
      <c r="M77" s="17">
        <v>2.5</v>
      </c>
      <c r="N77" s="16">
        <f t="shared" si="61"/>
        <v>0.7407407407407407</v>
      </c>
      <c r="O77" s="15"/>
      <c r="P77" s="14">
        <v>21</v>
      </c>
      <c r="Q77" s="20">
        <v>1.35</v>
      </c>
      <c r="R77" s="26">
        <f t="shared" si="62"/>
        <v>8.6537534933024975</v>
      </c>
      <c r="S77" s="26">
        <f t="shared" si="63"/>
        <v>19.710467706013361</v>
      </c>
      <c r="T77" s="28">
        <f t="shared" si="64"/>
        <v>170.56952876553919</v>
      </c>
      <c r="U77" s="28">
        <f>SUM($R$75:R77)</f>
        <v>74.077286306254237</v>
      </c>
      <c r="V77" s="28">
        <f>SUM($T$75:T77)</f>
        <v>756.35674588265942</v>
      </c>
      <c r="W77" s="28">
        <f t="shared" si="65"/>
        <v>10.210373295205352</v>
      </c>
      <c r="X77" s="28">
        <f>SUM(R77:$R$88)</f>
        <v>34.57646718704828</v>
      </c>
      <c r="Y77" s="27">
        <f>SUM(T77:$T$88)</f>
        <v>1411.4804113446833</v>
      </c>
      <c r="Z77" s="26">
        <f t="shared" si="66"/>
        <v>40.8219961776025</v>
      </c>
      <c r="AA77" s="26">
        <f t="shared" si="67"/>
        <v>69.750409559602986</v>
      </c>
      <c r="AB77" s="29">
        <f>SUM(R76:R79)</f>
        <v>26.65510263081816</v>
      </c>
    </row>
    <row r="78" spans="2:48" x14ac:dyDescent="0.35">
      <c r="B78" s="24"/>
      <c r="C78" s="23"/>
      <c r="D78" s="22"/>
      <c r="E78" s="21">
        <f t="shared" si="68"/>
        <v>1.35</v>
      </c>
      <c r="F78" s="20">
        <v>1.375</v>
      </c>
      <c r="G78" s="19">
        <v>61.3</v>
      </c>
      <c r="H78" s="18">
        <f t="shared" si="60"/>
        <v>5.9072949792811036</v>
      </c>
      <c r="I78" s="18">
        <v>25.81</v>
      </c>
      <c r="J78" s="18">
        <v>1.44</v>
      </c>
      <c r="K78" s="18">
        <v>20.399999999999999</v>
      </c>
      <c r="L78" s="18">
        <v>0.54</v>
      </c>
      <c r="M78" s="17">
        <v>1</v>
      </c>
      <c r="N78" s="16">
        <f t="shared" si="61"/>
        <v>0.72727272727272729</v>
      </c>
      <c r="O78" s="15"/>
      <c r="P78" s="14">
        <v>28</v>
      </c>
      <c r="Q78" s="20">
        <v>1.375</v>
      </c>
      <c r="R78" s="26">
        <f t="shared" si="62"/>
        <v>5.9072949792811036</v>
      </c>
      <c r="S78" s="26">
        <f t="shared" si="63"/>
        <v>26.187094155844154</v>
      </c>
      <c r="T78" s="28">
        <f t="shared" si="64"/>
        <v>154.69488982877971</v>
      </c>
      <c r="U78" s="28">
        <f>SUM($R$75:R78)</f>
        <v>79.984581285535342</v>
      </c>
      <c r="V78" s="28">
        <f>SUM($T$75:T78)</f>
        <v>911.05163571143908</v>
      </c>
      <c r="W78" s="28">
        <f t="shared" si="65"/>
        <v>11.390340751539277</v>
      </c>
      <c r="X78" s="28">
        <f>SUM(R78:$R$88)</f>
        <v>25.922713693745788</v>
      </c>
      <c r="Y78" s="27">
        <f>SUM(T78:$T$88)</f>
        <v>1240.9108825791443</v>
      </c>
      <c r="Z78" s="26">
        <f t="shared" si="66"/>
        <v>47.869636537263119</v>
      </c>
      <c r="AA78" s="26">
        <f t="shared" si="67"/>
        <v>77.030933795894796</v>
      </c>
      <c r="AB78" s="29">
        <f>SUM(R77:R80)</f>
        <v>20.246699431434905</v>
      </c>
    </row>
    <row r="79" spans="2:48" x14ac:dyDescent="0.35">
      <c r="B79" s="24"/>
      <c r="C79" s="23"/>
      <c r="D79" s="22"/>
      <c r="E79" s="21">
        <f t="shared" si="68"/>
        <v>1.375</v>
      </c>
      <c r="F79" s="20">
        <v>1.4</v>
      </c>
      <c r="G79" s="19">
        <v>33.4</v>
      </c>
      <c r="H79" s="18">
        <f t="shared" si="60"/>
        <v>3.2186566445022651</v>
      </c>
      <c r="I79" s="18">
        <v>32.200000000000003</v>
      </c>
      <c r="J79" s="18">
        <v>1.31</v>
      </c>
      <c r="K79" s="18">
        <v>19.420000000000002</v>
      </c>
      <c r="L79" s="18">
        <v>0.7</v>
      </c>
      <c r="M79" s="17">
        <v>0.5</v>
      </c>
      <c r="N79" s="16">
        <f t="shared" si="61"/>
        <v>0.7142857142857143</v>
      </c>
      <c r="O79" s="15"/>
      <c r="P79" s="14">
        <v>35</v>
      </c>
      <c r="Q79" s="20">
        <v>1.4</v>
      </c>
      <c r="R79" s="26">
        <f t="shared" si="62"/>
        <v>3.2186566445022651</v>
      </c>
      <c r="S79" s="26">
        <f t="shared" si="63"/>
        <v>32.627419191407441</v>
      </c>
      <c r="T79" s="28">
        <f t="shared" si="64"/>
        <v>105.01645957338428</v>
      </c>
      <c r="U79" s="28">
        <f>SUM($R$75:R79)</f>
        <v>83.203237930037602</v>
      </c>
      <c r="V79" s="28">
        <f>SUM($T$75:T79)</f>
        <v>1016.0680952848234</v>
      </c>
      <c r="W79" s="28">
        <f t="shared" si="65"/>
        <v>12.211881659451713</v>
      </c>
      <c r="X79" s="28">
        <f>SUM(R79:$R$88)</f>
        <v>20.015418714464683</v>
      </c>
      <c r="Y79" s="27">
        <f>SUM(T79:$T$88)</f>
        <v>1086.2159927503646</v>
      </c>
      <c r="Z79" s="26">
        <f t="shared" si="66"/>
        <v>54.268961756237523</v>
      </c>
      <c r="AA79" s="26">
        <f t="shared" si="67"/>
        <v>81.593909607786472</v>
      </c>
      <c r="AB79" s="29">
        <f>SUM(R78:R81)</f>
        <v>13.982846680158044</v>
      </c>
    </row>
    <row r="80" spans="2:48" x14ac:dyDescent="0.35">
      <c r="B80" s="24"/>
      <c r="C80" s="23"/>
      <c r="D80" s="22"/>
      <c r="E80" s="21">
        <f t="shared" si="68"/>
        <v>1.4</v>
      </c>
      <c r="F80" s="20">
        <v>1.425</v>
      </c>
      <c r="G80" s="19">
        <v>25.6</v>
      </c>
      <c r="H80" s="18">
        <f t="shared" si="60"/>
        <v>2.4669943143490416</v>
      </c>
      <c r="I80" s="18">
        <v>36.119999999999997</v>
      </c>
      <c r="J80" s="18">
        <v>1.25</v>
      </c>
      <c r="K80" s="18">
        <v>18.68</v>
      </c>
      <c r="L80" s="18">
        <v>0.71</v>
      </c>
      <c r="M80" s="17">
        <v>0</v>
      </c>
      <c r="N80" s="16">
        <f t="shared" si="61"/>
        <v>0.70175438596491224</v>
      </c>
      <c r="O80" s="15"/>
      <c r="P80" s="14">
        <v>42</v>
      </c>
      <c r="Q80" s="20">
        <v>1.425</v>
      </c>
      <c r="R80" s="26">
        <f t="shared" si="62"/>
        <v>2.4669943143490416</v>
      </c>
      <c r="S80" s="26">
        <f t="shared" si="63"/>
        <v>36.577215189873414</v>
      </c>
      <c r="T80" s="28">
        <f t="shared" si="64"/>
        <v>90.235781908139117</v>
      </c>
      <c r="U80" s="28">
        <f>SUM($R$75:R80)</f>
        <v>85.670232244386639</v>
      </c>
      <c r="V80" s="28">
        <f>SUM($T$75:T80)</f>
        <v>1106.3038771929625</v>
      </c>
      <c r="W80" s="28">
        <f t="shared" si="65"/>
        <v>12.913515560890181</v>
      </c>
      <c r="X80" s="28">
        <f>SUM(R80:$R$88)</f>
        <v>16.796762069962419</v>
      </c>
      <c r="Y80" s="27">
        <f>SUM(T80:$T$88)</f>
        <v>981.19953317698025</v>
      </c>
      <c r="Z80" s="26">
        <f t="shared" si="66"/>
        <v>58.415992861603691</v>
      </c>
      <c r="AA80" s="26">
        <f t="shared" si="67"/>
        <v>84.436735087212114</v>
      </c>
      <c r="AB80" s="29">
        <f>SUM(R79:R82)</f>
        <v>8.0851883974173671</v>
      </c>
    </row>
    <row r="81" spans="2:28" x14ac:dyDescent="0.35">
      <c r="B81" s="24"/>
      <c r="C81" s="23"/>
      <c r="D81" s="22"/>
      <c r="E81" s="21">
        <f t="shared" si="68"/>
        <v>1.425</v>
      </c>
      <c r="F81" s="20">
        <v>1.45</v>
      </c>
      <c r="G81" s="19">
        <v>24.8</v>
      </c>
      <c r="H81" s="18">
        <f t="shared" si="60"/>
        <v>2.3899007420256342</v>
      </c>
      <c r="I81" s="18">
        <v>43.58</v>
      </c>
      <c r="J81" s="18">
        <v>1.3</v>
      </c>
      <c r="K81" s="18">
        <v>17.55</v>
      </c>
      <c r="L81" s="18">
        <v>0.84</v>
      </c>
      <c r="M81" s="17">
        <v>0</v>
      </c>
      <c r="N81" s="16">
        <f t="shared" si="61"/>
        <v>0.68965517241379315</v>
      </c>
      <c r="O81" s="15"/>
      <c r="P81" s="14">
        <v>49</v>
      </c>
      <c r="Q81" s="20">
        <v>1.45</v>
      </c>
      <c r="R81" s="26">
        <f t="shared" si="62"/>
        <v>2.3899007420256342</v>
      </c>
      <c r="S81" s="26">
        <f t="shared" si="63"/>
        <v>44.154002026342454</v>
      </c>
      <c r="T81" s="28">
        <f t="shared" si="64"/>
        <v>105.52368220615719</v>
      </c>
      <c r="U81" s="28">
        <f>SUM($R$75:R81)</f>
        <v>88.06013298641227</v>
      </c>
      <c r="V81" s="28">
        <f>SUM($T$75:T81)</f>
        <v>1211.8275593991198</v>
      </c>
      <c r="W81" s="28">
        <f t="shared" si="65"/>
        <v>13.761364175842267</v>
      </c>
      <c r="X81" s="28">
        <f>SUM(R81:$R$88)</f>
        <v>14.329767755613378</v>
      </c>
      <c r="Y81" s="27">
        <f>SUM(T81:$T$88)</f>
        <v>890.96375126884118</v>
      </c>
      <c r="Z81" s="26">
        <f t="shared" si="66"/>
        <v>62.175728627550527</v>
      </c>
      <c r="AA81" s="26">
        <f t="shared" si="67"/>
        <v>86.865182615399448</v>
      </c>
      <c r="AB81" s="29">
        <f>SUM(R80:R83)</f>
        <v>8.3453792040088679</v>
      </c>
    </row>
    <row r="82" spans="2:28" x14ac:dyDescent="0.35">
      <c r="B82" s="24"/>
      <c r="C82" s="23"/>
      <c r="D82" s="22"/>
      <c r="E82" s="21">
        <f t="shared" si="68"/>
        <v>1.45</v>
      </c>
      <c r="F82" s="20">
        <v>1.5</v>
      </c>
      <c r="G82" s="32">
        <v>0.1</v>
      </c>
      <c r="H82" s="18">
        <f t="shared" si="60"/>
        <v>9.6366965404259437E-3</v>
      </c>
      <c r="I82" s="31">
        <v>50</v>
      </c>
      <c r="J82" s="31">
        <v>0.8</v>
      </c>
      <c r="K82" s="31">
        <v>17.55</v>
      </c>
      <c r="L82" s="31">
        <v>0.84</v>
      </c>
      <c r="M82" s="30">
        <v>0</v>
      </c>
      <c r="N82" s="16">
        <f t="shared" si="61"/>
        <v>0.66666666666666663</v>
      </c>
      <c r="O82" s="15"/>
      <c r="P82" s="14">
        <v>56</v>
      </c>
      <c r="Q82" s="20">
        <v>1.5</v>
      </c>
      <c r="R82" s="26">
        <f t="shared" si="62"/>
        <v>9.6366965404259437E-3</v>
      </c>
      <c r="S82" s="26">
        <f t="shared" si="63"/>
        <v>50.403225806451609</v>
      </c>
      <c r="T82" s="28">
        <f t="shared" si="64"/>
        <v>0.48572059175533988</v>
      </c>
      <c r="U82" s="28">
        <f>SUM($R$75:R82)</f>
        <v>88.069769682952696</v>
      </c>
      <c r="V82" s="28">
        <f>SUM($T$75:T82)</f>
        <v>1212.3132799908751</v>
      </c>
      <c r="W82" s="28">
        <f t="shared" si="65"/>
        <v>13.765373570921664</v>
      </c>
      <c r="X82" s="28">
        <f>SUM(R82:$R$88)</f>
        <v>11.939867013587746</v>
      </c>
      <c r="Y82" s="27">
        <f>SUM(T82:$T$88)</f>
        <v>785.44006906268396</v>
      </c>
      <c r="Z82" s="26">
        <f t="shared" si="66"/>
        <v>65.782983023918234</v>
      </c>
      <c r="AA82" s="26">
        <f t="shared" si="67"/>
        <v>88.064951334682476</v>
      </c>
      <c r="AB82" s="29"/>
    </row>
    <row r="83" spans="2:28" x14ac:dyDescent="0.35">
      <c r="B83" s="24"/>
      <c r="C83" s="23"/>
      <c r="D83" s="22"/>
      <c r="E83" s="21">
        <f t="shared" si="68"/>
        <v>1.5</v>
      </c>
      <c r="F83" s="20">
        <v>1.6</v>
      </c>
      <c r="G83" s="19">
        <v>36.1</v>
      </c>
      <c r="H83" s="18">
        <f t="shared" si="60"/>
        <v>3.4788474510937659</v>
      </c>
      <c r="I83" s="18">
        <v>54.88</v>
      </c>
      <c r="J83" s="18">
        <v>1.39</v>
      </c>
      <c r="K83" s="18">
        <v>16.510000000000002</v>
      </c>
      <c r="L83" s="18">
        <v>1.19</v>
      </c>
      <c r="M83" s="17">
        <v>0</v>
      </c>
      <c r="N83" s="16">
        <f t="shared" si="61"/>
        <v>0.625</v>
      </c>
      <c r="O83" s="15"/>
      <c r="P83" s="14">
        <v>63</v>
      </c>
      <c r="Q83" s="20">
        <v>1.6</v>
      </c>
      <c r="R83" s="26">
        <f t="shared" si="62"/>
        <v>3.4788474510937659</v>
      </c>
      <c r="S83" s="26">
        <f t="shared" si="63"/>
        <v>55.653584829124839</v>
      </c>
      <c r="T83" s="28">
        <f t="shared" si="64"/>
        <v>193.61033172703162</v>
      </c>
      <c r="U83" s="28">
        <f>SUM($R$75:R83)</f>
        <v>91.548617134046467</v>
      </c>
      <c r="V83" s="28">
        <f>SUM($T$75:T83)</f>
        <v>1405.9236117179066</v>
      </c>
      <c r="W83" s="28">
        <f t="shared" si="65"/>
        <v>15.357125598733383</v>
      </c>
      <c r="X83" s="28">
        <f>SUM(R83:$R$88)</f>
        <v>11.93023031704732</v>
      </c>
      <c r="Y83" s="27">
        <f>SUM(T83:$T$88)</f>
        <v>784.95434847092861</v>
      </c>
      <c r="Z83" s="26">
        <f t="shared" si="66"/>
        <v>65.795406091137508</v>
      </c>
      <c r="AA83" s="26">
        <f t="shared" si="67"/>
        <v>89.809193408499581</v>
      </c>
      <c r="AB83" s="29">
        <f>SUM(R82:R84)</f>
        <v>3.4981208441746174</v>
      </c>
    </row>
    <row r="84" spans="2:28" x14ac:dyDescent="0.35">
      <c r="B84" s="24"/>
      <c r="C84" s="23"/>
      <c r="D84" s="22"/>
      <c r="E84" s="21">
        <f t="shared" si="68"/>
        <v>1.6</v>
      </c>
      <c r="F84" s="20">
        <v>1.7</v>
      </c>
      <c r="G84" s="19">
        <v>0.1</v>
      </c>
      <c r="H84" s="18">
        <f t="shared" si="60"/>
        <v>9.6366965404259437E-3</v>
      </c>
      <c r="I84" s="31">
        <v>57</v>
      </c>
      <c r="J84" s="31">
        <v>8</v>
      </c>
      <c r="K84" s="31">
        <v>16.510000000000002</v>
      </c>
      <c r="L84" s="31">
        <v>0.84</v>
      </c>
      <c r="M84" s="30">
        <v>0</v>
      </c>
      <c r="N84" s="16">
        <f t="shared" si="61"/>
        <v>0.58823529411764708</v>
      </c>
      <c r="O84" s="15"/>
      <c r="P84" s="14">
        <v>70</v>
      </c>
      <c r="Q84" s="20">
        <v>1.7</v>
      </c>
      <c r="R84" s="26">
        <f t="shared" si="62"/>
        <v>9.6366965404259437E-3</v>
      </c>
      <c r="S84" s="26">
        <f t="shared" si="63"/>
        <v>61.956521739130437</v>
      </c>
      <c r="T84" s="28">
        <f t="shared" si="64"/>
        <v>0.59705619870030302</v>
      </c>
      <c r="U84" s="28">
        <f>SUM($R$75:R84)</f>
        <v>91.558253830586892</v>
      </c>
      <c r="V84" s="28">
        <f>SUM($T$75:T84)</f>
        <v>1406.520667916607</v>
      </c>
      <c r="W84" s="28">
        <f t="shared" si="65"/>
        <v>15.362030282044655</v>
      </c>
      <c r="X84" s="28">
        <f>SUM(R84:$R$88)</f>
        <v>8.4513828659535513</v>
      </c>
      <c r="Y84" s="27">
        <f>SUM(T84:$T$88)</f>
        <v>591.34401674389699</v>
      </c>
      <c r="Z84" s="26">
        <f t="shared" si="66"/>
        <v>69.970089643687785</v>
      </c>
      <c r="AA84" s="26">
        <f t="shared" si="67"/>
        <v>91.553435482316672</v>
      </c>
      <c r="AB84" s="29">
        <f>SUM(R84:R85)</f>
        <v>1.8116989496000775</v>
      </c>
    </row>
    <row r="85" spans="2:28" x14ac:dyDescent="0.35">
      <c r="B85" s="24"/>
      <c r="C85" s="23"/>
      <c r="D85" s="22"/>
      <c r="E85" s="21">
        <f t="shared" si="68"/>
        <v>1.7</v>
      </c>
      <c r="F85" s="20">
        <v>1.8</v>
      </c>
      <c r="G85" s="19">
        <v>18.7</v>
      </c>
      <c r="H85" s="18">
        <f t="shared" si="60"/>
        <v>1.8020622530596515</v>
      </c>
      <c r="I85" s="18">
        <v>60.88</v>
      </c>
      <c r="J85" s="18">
        <v>1.36</v>
      </c>
      <c r="K85" s="18">
        <v>16.78</v>
      </c>
      <c r="L85" s="18">
        <v>1.38</v>
      </c>
      <c r="M85" s="17">
        <v>0</v>
      </c>
      <c r="N85" s="16">
        <f t="shared" si="61"/>
        <v>0.55555555555555558</v>
      </c>
      <c r="O85" s="15"/>
      <c r="P85" s="14">
        <v>77</v>
      </c>
      <c r="Q85" s="20">
        <v>1.8</v>
      </c>
      <c r="R85" s="26">
        <f t="shared" si="62"/>
        <v>1.8020622530596515</v>
      </c>
      <c r="S85" s="26">
        <f t="shared" si="63"/>
        <v>61.719383617193834</v>
      </c>
      <c r="T85" s="28">
        <f t="shared" si="64"/>
        <v>111.22217149865327</v>
      </c>
      <c r="U85" s="28">
        <f>SUM($R$75:R85)</f>
        <v>93.360316083646538</v>
      </c>
      <c r="V85" s="28">
        <f>SUM($T$75:T85)</f>
        <v>1517.7428394152603</v>
      </c>
      <c r="W85" s="28">
        <f t="shared" si="65"/>
        <v>16.256830558022454</v>
      </c>
      <c r="X85" s="28">
        <f>SUM(R85:$R$88)</f>
        <v>8.4417461694131255</v>
      </c>
      <c r="Y85" s="27">
        <f>SUM(T85:$T$88)</f>
        <v>590.74696054519666</v>
      </c>
      <c r="Z85" s="26">
        <f t="shared" si="66"/>
        <v>69.979237552254631</v>
      </c>
      <c r="AA85" s="26">
        <f t="shared" si="67"/>
        <v>92.459284957116708</v>
      </c>
      <c r="AB85" s="29">
        <f>SUM(R85:R86)</f>
        <v>5.9554784619832333</v>
      </c>
    </row>
    <row r="86" spans="2:28" x14ac:dyDescent="0.35">
      <c r="B86" s="24"/>
      <c r="C86" s="23"/>
      <c r="D86" s="22"/>
      <c r="E86" s="21">
        <f t="shared" si="68"/>
        <v>1.8</v>
      </c>
      <c r="F86" s="20">
        <v>2</v>
      </c>
      <c r="G86" s="19">
        <v>43.1</v>
      </c>
      <c r="H86" s="18">
        <f t="shared" si="60"/>
        <v>4.1534162089235815</v>
      </c>
      <c r="I86" s="18">
        <v>69.5</v>
      </c>
      <c r="J86" s="18">
        <v>1.84</v>
      </c>
      <c r="K86" s="18">
        <v>18.489999999999998</v>
      </c>
      <c r="L86" s="18">
        <v>0.98</v>
      </c>
      <c r="M86" s="17">
        <v>0</v>
      </c>
      <c r="N86" s="16">
        <f t="shared" si="61"/>
        <v>0.5</v>
      </c>
      <c r="O86" s="15"/>
      <c r="P86" s="14">
        <v>84</v>
      </c>
      <c r="Q86" s="20">
        <v>2</v>
      </c>
      <c r="R86" s="26">
        <f t="shared" si="62"/>
        <v>4.1534162089235815</v>
      </c>
      <c r="S86" s="26">
        <f t="shared" si="63"/>
        <v>70.802770986145077</v>
      </c>
      <c r="T86" s="28">
        <f t="shared" si="64"/>
        <v>294.07337665055923</v>
      </c>
      <c r="U86" s="28">
        <f>SUM($R$75:R86)</f>
        <v>97.513732292570126</v>
      </c>
      <c r="V86" s="28">
        <f>SUM($T$75:T86)</f>
        <v>1811.8162160658194</v>
      </c>
      <c r="W86" s="28">
        <f t="shared" si="65"/>
        <v>18.580113523189056</v>
      </c>
      <c r="X86" s="28">
        <f>SUM(R86:$R$88)</f>
        <v>6.6396839163534747</v>
      </c>
      <c r="Y86" s="27">
        <f>SUM(T86:$T$88)</f>
        <v>479.52478904654339</v>
      </c>
      <c r="Z86" s="26">
        <f t="shared" si="66"/>
        <v>72.221026646385781</v>
      </c>
      <c r="AA86" s="26">
        <f t="shared" si="67"/>
        <v>95.437024188108339</v>
      </c>
      <c r="AB86" s="25"/>
    </row>
    <row r="87" spans="2:28" x14ac:dyDescent="0.35">
      <c r="B87" s="24"/>
      <c r="C87" s="23"/>
      <c r="D87" s="22"/>
      <c r="E87" s="21">
        <f t="shared" si="68"/>
        <v>2</v>
      </c>
      <c r="F87" s="20">
        <v>2.2000000000000002</v>
      </c>
      <c r="G87" s="19">
        <v>17.2</v>
      </c>
      <c r="H87" s="18">
        <f t="shared" si="60"/>
        <v>1.657511804953262</v>
      </c>
      <c r="I87" s="18">
        <v>73.83</v>
      </c>
      <c r="J87" s="18">
        <v>0.6</v>
      </c>
      <c r="K87" s="18">
        <v>20.18</v>
      </c>
      <c r="L87" s="18">
        <v>4.2699999999999996</v>
      </c>
      <c r="M87" s="17">
        <v>0</v>
      </c>
      <c r="N87" s="16">
        <f t="shared" si="61"/>
        <v>0.45454545454545453</v>
      </c>
      <c r="O87" s="15"/>
      <c r="P87" s="14">
        <v>91</v>
      </c>
      <c r="Q87" s="20">
        <v>2.2000000000000002</v>
      </c>
      <c r="R87" s="26">
        <f t="shared" si="62"/>
        <v>1.657511804953262</v>
      </c>
      <c r="S87" s="26">
        <f t="shared" si="63"/>
        <v>74.275653923541242</v>
      </c>
      <c r="T87" s="28">
        <f t="shared" si="64"/>
        <v>123.11277319889268</v>
      </c>
      <c r="U87" s="28">
        <f>SUM($R$75:R87)</f>
        <v>99.171244097523385</v>
      </c>
      <c r="V87" s="28">
        <f>SUM($T$75:T87)</f>
        <v>1934.9289892647121</v>
      </c>
      <c r="W87" s="28">
        <f t="shared" si="65"/>
        <v>19.510988360314755</v>
      </c>
      <c r="X87" s="28">
        <f>SUM(R87:$R$88)</f>
        <v>2.4862677074298931</v>
      </c>
      <c r="Y87" s="27">
        <f>SUM(T87:$T$88)</f>
        <v>185.45141239598416</v>
      </c>
      <c r="Z87" s="26">
        <f t="shared" si="66"/>
        <v>74.590283195082463</v>
      </c>
      <c r="AA87" s="26">
        <f t="shared" si="67"/>
        <v>98.342488195046755</v>
      </c>
      <c r="AB87" s="25"/>
    </row>
    <row r="88" spans="2:28" x14ac:dyDescent="0.35">
      <c r="B88" s="24"/>
      <c r="C88" s="23"/>
      <c r="D88" s="22"/>
      <c r="E88" s="21">
        <f t="shared" si="68"/>
        <v>2.2000000000000002</v>
      </c>
      <c r="F88" s="20">
        <v>2.8</v>
      </c>
      <c r="G88" s="19">
        <v>8.6</v>
      </c>
      <c r="H88" s="18">
        <f t="shared" si="60"/>
        <v>0.828755902476631</v>
      </c>
      <c r="I88" s="18">
        <v>74.52</v>
      </c>
      <c r="J88" s="18">
        <v>0.93</v>
      </c>
      <c r="K88" s="18">
        <v>19.07</v>
      </c>
      <c r="L88" s="18">
        <v>15.06</v>
      </c>
      <c r="M88" s="17">
        <v>0</v>
      </c>
      <c r="N88" s="16">
        <f t="shared" si="61"/>
        <v>0.35714285714285715</v>
      </c>
      <c r="O88" s="15"/>
      <c r="P88" s="14">
        <v>98</v>
      </c>
      <c r="Q88" s="13">
        <v>2.8</v>
      </c>
      <c r="R88" s="10">
        <f t="shared" si="62"/>
        <v>0.828755902476631</v>
      </c>
      <c r="S88" s="10">
        <f t="shared" si="63"/>
        <v>75.219541738164935</v>
      </c>
      <c r="T88" s="12">
        <f t="shared" si="64"/>
        <v>62.338639197091496</v>
      </c>
      <c r="U88" s="12">
        <f>SUM($R$75:R88)</f>
        <v>100.00000000000001</v>
      </c>
      <c r="V88" s="12">
        <f>SUM($T$75:T88)</f>
        <v>1997.2676284618035</v>
      </c>
      <c r="W88" s="12">
        <f t="shared" si="65"/>
        <v>19.972676284618032</v>
      </c>
      <c r="X88" s="12">
        <f>SUM(R88:$R$88)</f>
        <v>0.828755902476631</v>
      </c>
      <c r="Y88" s="11">
        <f>SUM(T88:$T$88)</f>
        <v>62.338639197091496</v>
      </c>
      <c r="Z88" s="10">
        <f t="shared" si="66"/>
        <v>75.219541738164935</v>
      </c>
      <c r="AA88" s="10">
        <f t="shared" si="67"/>
        <v>99.585622048761692</v>
      </c>
      <c r="AB88" s="9"/>
    </row>
    <row r="89" spans="2:28" x14ac:dyDescent="0.35">
      <c r="B89" s="94" t="s">
        <v>0</v>
      </c>
      <c r="C89" s="95"/>
      <c r="D89" s="95"/>
      <c r="E89" s="8"/>
      <c r="F89" s="7"/>
      <c r="G89" s="6">
        <f>SUM(G75:G88)</f>
        <v>1037.6999999999998</v>
      </c>
      <c r="H89" s="5">
        <f>SUM(H75:H88)</f>
        <v>100.00000000000001</v>
      </c>
      <c r="I89" s="4">
        <f>SUMPRODUCT($H$75:$H$88,I75:I88)/$H$89</f>
        <v>19.712297388455241</v>
      </c>
      <c r="J89" s="4">
        <f>SUMPRODUCT($H$75:$H$88,J75:J88)/$H$89</f>
        <v>1.228841669075841</v>
      </c>
      <c r="K89" s="4">
        <f>SUMPRODUCT($H$75:$H$88,K75:K88)/$H$89</f>
        <v>23.703195528572802</v>
      </c>
      <c r="L89" s="4">
        <f>SUMPRODUCT($H$75:$H$88,L75:L88)/$H$89</f>
        <v>0.88359834248819513</v>
      </c>
      <c r="M89" s="3">
        <f>SUMPRODUCT($H$75:$H$88,M75:M88)/$H$89</f>
        <v>5.4974944588994905</v>
      </c>
      <c r="N89" s="2"/>
      <c r="O89" s="2"/>
    </row>
    <row r="91" spans="2:28" x14ac:dyDescent="0.35">
      <c r="D91" s="1"/>
    </row>
    <row r="92" spans="2:28" x14ac:dyDescent="0.35">
      <c r="D92" s="1"/>
      <c r="G92" s="1"/>
    </row>
  </sheetData>
  <mergeCells count="24">
    <mergeCell ref="AK26:AU26"/>
    <mergeCell ref="AK58:AU58"/>
    <mergeCell ref="AL7:AN7"/>
    <mergeCell ref="AO7:AQ7"/>
    <mergeCell ref="AR7:AT7"/>
    <mergeCell ref="AK10:AU10"/>
    <mergeCell ref="AK42:AU42"/>
    <mergeCell ref="Q26:AA26"/>
    <mergeCell ref="Q42:AA42"/>
    <mergeCell ref="Q58:AA58"/>
    <mergeCell ref="Q74:AA74"/>
    <mergeCell ref="R7:T7"/>
    <mergeCell ref="Q10:AA10"/>
    <mergeCell ref="U7:W7"/>
    <mergeCell ref="X7:Z7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26" orientation="portrait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Float sink</vt:lpstr>
      <vt:lpstr>'Float sink'!Print_Area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Dulguuntamir Bayarmagnai</dc:creator>
  <cp:lastModifiedBy>Dulguuntamir Bayarmagnai</cp:lastModifiedBy>
  <dcterms:created xsi:type="dcterms:W3CDTF">2026-06-16T07:53:59Z</dcterms:created>
  <dcterms:modified xsi:type="dcterms:W3CDTF">2026-06-18T03:29:10Z</dcterms:modified>
</cp:coreProperties>
</file>