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turbat.e\AppData\Local\Microsoft\Windows\INetCache\Content.Outlook\XZFECEAS\"/>
    </mc:Choice>
  </mc:AlternateContent>
  <xr:revisionPtr revIDLastSave="0" documentId="13_ncr:1_{DDBFE7DC-CB67-451F-A821-FAD0F0D83F25}" xr6:coauthVersionLast="45" xr6:coauthVersionMax="45" xr10:uidLastSave="{00000000-0000-0000-0000-000000000000}"/>
  <bookViews>
    <workbookView xWindow="20370" yWindow="-120" windowWidth="21840" windowHeight="13140" activeTab="2" xr2:uid="{00000000-000D-0000-FFFF-FFFF00000000}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'!$A$1:$D$30</definedName>
    <definedName name="_xlnm.Print_Area" localSheetId="2">'Float sink'!$A$2:$M$91</definedName>
    <definedName name="_xlnm.Print_Area" localSheetId="3">'Froth Flotation'!$A$1:$L$19</definedName>
    <definedName name="_xlnm.Print_Area" localSheetId="1">Pretreatment!$A$1:$K$51</definedName>
    <definedName name="_xlnm.Print_Area" localSheetId="0">'Raw Coal analysis'!$A$1:$C$29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6" i="5" l="1"/>
  <c r="D12" i="4" l="1"/>
  <c r="E10" i="4" l="1"/>
  <c r="D47" i="4" l="1"/>
  <c r="D45" i="4"/>
  <c r="D48" i="4" s="1"/>
  <c r="E33" i="4" l="1"/>
  <c r="D28" i="4" l="1"/>
  <c r="F17" i="6"/>
  <c r="D5" i="6"/>
  <c r="D6" i="6"/>
  <c r="D4" i="6"/>
  <c r="D2" i="6"/>
  <c r="E4" i="5"/>
  <c r="E5" i="5"/>
  <c r="E2" i="5"/>
  <c r="C5" i="4"/>
  <c r="C6" i="4"/>
  <c r="C4" i="4"/>
  <c r="C2" i="4"/>
  <c r="G11" i="6" l="1"/>
  <c r="G13" i="6"/>
  <c r="G14" i="6"/>
  <c r="G15" i="6"/>
  <c r="G12" i="6"/>
  <c r="G16" i="6"/>
  <c r="G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G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G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G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G26" i="5"/>
  <c r="H12" i="5" s="1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41" i="4"/>
  <c r="E48" i="4"/>
  <c r="E25" i="4"/>
  <c r="D26" i="4"/>
  <c r="D29" i="4" s="1"/>
  <c r="E29" i="4" s="1"/>
  <c r="E14" i="4"/>
  <c r="E12" i="4"/>
  <c r="G17" i="6" l="1"/>
  <c r="I17" i="6" s="1"/>
  <c r="H78" i="5"/>
  <c r="H82" i="5"/>
  <c r="H86" i="5"/>
  <c r="H76" i="5"/>
  <c r="H79" i="5"/>
  <c r="H83" i="5"/>
  <c r="H87" i="5"/>
  <c r="H80" i="5"/>
  <c r="H84" i="5"/>
  <c r="H88" i="5"/>
  <c r="H77" i="5"/>
  <c r="H81" i="5"/>
  <c r="H85" i="5"/>
  <c r="H89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29" i="5"/>
  <c r="H33" i="5"/>
  <c r="H37" i="5"/>
  <c r="H41" i="5"/>
  <c r="H30" i="5"/>
  <c r="H34" i="5"/>
  <c r="H38" i="5"/>
  <c r="H28" i="5"/>
  <c r="H39" i="5"/>
  <c r="E15" i="4"/>
  <c r="E38" i="4"/>
  <c r="E39" i="4"/>
  <c r="E42" i="4"/>
  <c r="E35" i="4"/>
  <c r="E22" i="4"/>
  <c r="E34" i="4"/>
  <c r="E43" i="4"/>
  <c r="E21" i="4"/>
  <c r="E19" i="4"/>
  <c r="E23" i="4"/>
  <c r="E28" i="4"/>
  <c r="E45" i="4"/>
  <c r="E20" i="4"/>
  <c r="E24" i="4"/>
  <c r="H16" i="5"/>
  <c r="H20" i="5"/>
  <c r="H24" i="5"/>
  <c r="E26" i="4"/>
  <c r="E36" i="4"/>
  <c r="E40" i="4"/>
  <c r="E44" i="4"/>
  <c r="E47" i="4"/>
  <c r="H14" i="5"/>
  <c r="H18" i="5"/>
  <c r="H22" i="5"/>
  <c r="E11" i="4"/>
  <c r="E37" i="4"/>
  <c r="H13" i="5"/>
  <c r="H15" i="5"/>
  <c r="H17" i="5"/>
  <c r="H19" i="5"/>
  <c r="H21" i="5"/>
  <c r="H23" i="5"/>
  <c r="H25" i="5"/>
  <c r="K17" i="6" l="1"/>
  <c r="H26" i="5"/>
  <c r="K26" i="5" s="1"/>
  <c r="H17" i="6"/>
  <c r="L17" i="6"/>
  <c r="J17" i="6"/>
  <c r="H42" i="5"/>
  <c r="L42" i="5" s="1"/>
  <c r="H74" i="5"/>
  <c r="L74" i="5" s="1"/>
  <c r="H58" i="5"/>
  <c r="I58" i="5" s="1"/>
  <c r="H90" i="5"/>
  <c r="M90" i="5" s="1"/>
  <c r="J74" i="5" l="1"/>
  <c r="J42" i="5"/>
  <c r="I42" i="5"/>
  <c r="K42" i="5"/>
  <c r="M42" i="5"/>
  <c r="M74" i="5"/>
  <c r="J90" i="5"/>
  <c r="L90" i="5"/>
  <c r="I90" i="5"/>
  <c r="K74" i="5"/>
  <c r="K90" i="5"/>
  <c r="I74" i="5"/>
  <c r="M58" i="5"/>
  <c r="I26" i="5"/>
  <c r="J26" i="5"/>
  <c r="L58" i="5"/>
  <c r="J58" i="5"/>
  <c r="L26" i="5"/>
  <c r="M26" i="5"/>
  <c r="K5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turbat.e</author>
  </authors>
  <commentList>
    <comment ref="D1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G22" authorId="1" shapeId="0" xr:uid="{A1DDA7F3-8BEE-4EF0-87BC-0670FA85E7C3}">
      <text>
        <r>
          <rPr>
            <b/>
            <sz val="9"/>
            <color indexed="81"/>
            <rFont val="Tahoma"/>
            <charset val="1"/>
          </rPr>
          <t>turbat.e:</t>
        </r>
        <r>
          <rPr>
            <sz val="9"/>
            <color indexed="81"/>
            <rFont val="Tahoma"/>
            <charset val="1"/>
          </rPr>
          <t xml:space="preserve">
дээжгүй</t>
        </r>
      </text>
    </comment>
    <comment ref="G23" authorId="1" shapeId="0" xr:uid="{260CF7A5-48FC-461C-8AF7-808ABF23E462}">
      <text>
        <r>
          <rPr>
            <b/>
            <sz val="9"/>
            <color indexed="81"/>
            <rFont val="Tahoma"/>
            <charset val="1"/>
          </rPr>
          <t>turbat.e:</t>
        </r>
        <r>
          <rPr>
            <sz val="9"/>
            <color indexed="81"/>
            <rFont val="Tahoma"/>
            <charset val="1"/>
          </rPr>
          <t xml:space="preserve">
дээжгүй</t>
        </r>
      </text>
    </comment>
    <comment ref="D2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4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59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D7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turbat.e</author>
  </authors>
  <commentList>
    <comment ref="D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процесс инженерүүд бөглөнө. 
</t>
        </r>
      </text>
    </comment>
    <comment ref="H14" authorId="1" shapeId="0" xr:uid="{968AEB54-5ABB-4BEF-97F0-6FCA46FE7870}">
      <text>
        <r>
          <rPr>
            <b/>
            <sz val="9"/>
            <color indexed="81"/>
            <rFont val="Tahoma"/>
            <family val="2"/>
          </rPr>
          <t>turbat.e:</t>
        </r>
        <r>
          <rPr>
            <sz val="9"/>
            <color indexed="81"/>
            <rFont val="Tahoma"/>
            <family val="2"/>
          </rPr>
          <t xml:space="preserve">
Дээж хүрээгүй</t>
        </r>
      </text>
    </comment>
  </commentList>
</comments>
</file>

<file path=xl/sharedStrings.xml><?xml version="1.0" encoding="utf-8"?>
<sst xmlns="http://schemas.openxmlformats.org/spreadsheetml/2006/main" count="229" uniqueCount="103">
  <si>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</si>
  <si>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</si>
  <si>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</si>
  <si>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</si>
  <si>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</si>
  <si>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</si>
  <si>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</si>
  <si>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</si>
  <si>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</si>
  <si>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</si>
  <si>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</si>
  <si>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</si>
  <si>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</si>
  <si>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</si>
  <si>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</si>
  <si>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TRD 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</si>
  <si>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</si>
  <si>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</si>
  <si>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</si>
  <si>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</si>
  <si>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</si>
  <si>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</si>
  <si>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</si>
  <si>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</si>
  <si>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</si>
  <si>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</si>
  <si>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</si>
  <si>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</si>
  <si>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</si>
  <si>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</si>
  <si>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</si>
  <si>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</si>
  <si>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</si>
  <si>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</si>
  <si>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</si>
  <si>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</si>
  <si>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</si>
  <si>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</si>
  <si>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</si>
  <si>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</si>
  <si>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</si>
  <si>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</si>
  <si>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</si>
  <si>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</si>
  <si>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</si>
  <si>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</si>
  <si>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</si>
  <si>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</si>
  <si>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</si>
  <si>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</si>
  <si>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</si>
  <si>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</si>
  <si>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</si>
  <si>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</si>
  <si>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</si>
  <si>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</si>
  <si>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</si>
  <si>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</si>
  <si>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</si>
  <si>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</si>
  <si>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</si>
  <si>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</si>
  <si>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</si>
  <si>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</si>
  <si>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</si>
  <si>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</si>
  <si>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</si>
  <si>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</si>
  <si>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</si>
  <si>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</si>
  <si>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</si>
  <si>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</si>
  <si>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</si>
  <si>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</si>
  <si>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</si>
  <si>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</si>
  <si>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</si>
  <si>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</si>
  <si>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</si>
  <si>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</si>
  <si>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</si>
  <si>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</si>
  <si>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</si>
  <si>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</si>
  <si>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</si>
  <si>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</si>
  <si>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</si>
  <si>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</si>
  <si>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</si>
  <si>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</si>
  <si>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</si>
  <si>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 xml:space="preserve">Sample Name_Composite Product </t>
  </si>
  <si>
    <t>Initial</t>
  </si>
  <si>
    <t>Float and Sink</t>
  </si>
  <si>
    <t xml:space="preserve">Vol, ad % </t>
  </si>
  <si>
    <t>TRD, ad %</t>
  </si>
  <si>
    <t>PR11_B35_4C</t>
  </si>
  <si>
    <t>2019.09.19</t>
  </si>
  <si>
    <t>#23</t>
  </si>
  <si>
    <t>2019.09.06</t>
  </si>
  <si>
    <t>Laboratory report №</t>
  </si>
  <si>
    <t>19_23</t>
  </si>
  <si>
    <r>
      <t xml:space="preserve">Жингээр унагах туршилтын дараах шигшилт: </t>
    </r>
    <r>
      <rPr>
        <i/>
        <sz val="11"/>
        <color theme="1"/>
        <rFont val="Calibri"/>
        <family val="2"/>
        <scheme val="minor"/>
      </rPr>
      <t xml:space="preserve">2 метр, 15 удаа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</si>
</sst>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%"/>
    <numFmt numFmtId="168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8" fillId="0" borderId="8" xfId="0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5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6" fillId="0" borderId="6" xfId="0" quotePrefix="1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2" fontId="6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8" xfId="0" applyNumberFormat="1" applyFont="1" applyFill="1" applyBorder="1" applyAlignment="1">
      <alignment horizontal="center"/>
    </xf>
    <xf numFmtId="165" fontId="9" fillId="0" borderId="9" xfId="0" applyNumberFormat="1" applyFont="1" applyFill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2" fontId="9" fillId="0" borderId="10" xfId="0" applyNumberFormat="1" applyFont="1" applyFill="1" applyBorder="1" applyAlignment="1">
      <alignment horizont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2" fillId="5" borderId="6" xfId="0" applyNumberFormat="1" applyFont="1" applyFill="1" applyBorder="1" applyAlignment="1">
      <alignment horizontal="center"/>
    </xf>
    <xf numFmtId="2" fontId="9" fillId="0" borderId="9" xfId="0" applyNumberFormat="1" applyFont="1" applyFill="1" applyBorder="1" applyAlignment="1">
      <alignment horizontal="center"/>
    </xf>
    <xf numFmtId="0" fontId="13" fillId="5" borderId="0" xfId="0" applyFont="1" applyFill="1"/>
    <xf numFmtId="0" fontId="0" fillId="0" borderId="0" xfId="0" quotePrefix="1" applyAlignment="1">
      <alignment horizontal="left"/>
    </xf>
    <xf numFmtId="0" fontId="13" fillId="0" borderId="0" xfId="0" applyFont="1" applyAlignment="1">
      <alignment horizontal="left"/>
    </xf>
    <xf numFmtId="0" fontId="13" fillId="0" borderId="0" xfId="0" applyFont="1"/>
    <xf numFmtId="0" fontId="0" fillId="0" borderId="0" xfId="0" applyFont="1"/>
    <xf numFmtId="43" fontId="12" fillId="5" borderId="6" xfId="1" applyNumberFormat="1" applyFont="1" applyFill="1" applyBorder="1" applyAlignment="1">
      <alignment horizontal="center"/>
    </xf>
    <xf numFmtId="165" fontId="14" fillId="0" borderId="6" xfId="0" applyNumberFormat="1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2" fontId="16" fillId="0" borderId="10" xfId="0" applyNumberFormat="1" applyFont="1" applyFill="1" applyBorder="1" applyAlignment="1">
      <alignment horizontal="center"/>
    </xf>
    <xf numFmtId="2" fontId="16" fillId="0" borderId="9" xfId="0" applyNumberFormat="1" applyFont="1" applyFill="1" applyBorder="1" applyAlignment="1">
      <alignment horizontal="center"/>
    </xf>
    <xf numFmtId="168" fontId="12" fillId="5" borderId="6" xfId="0" applyNumberFormat="1" applyFont="1" applyFill="1" applyBorder="1" applyAlignment="1">
      <alignment horizontal="center"/>
    </xf>
    <xf numFmtId="43" fontId="9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Fill="1"/>
    <xf numFmtId="0" fontId="0" fillId="3" borderId="2" xfId="0" applyFont="1" applyFill="1" applyBorder="1" applyAlignment="1">
      <alignment wrapText="1"/>
    </xf>
    <xf numFmtId="0" fontId="0" fillId="3" borderId="3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5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5" xfId="0" quotePrefix="1" applyFont="1" applyBorder="1" applyAlignment="1">
      <alignment horizontal="right"/>
    </xf>
    <xf numFmtId="0" fontId="0" fillId="0" borderId="6" xfId="0" quotePrefix="1" applyFont="1" applyBorder="1" applyAlignment="1">
      <alignment horizontal="right"/>
    </xf>
    <xf numFmtId="0" fontId="0" fillId="5" borderId="6" xfId="0" applyFont="1" applyFill="1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0" fontId="0" fillId="0" borderId="8" xfId="0" applyFont="1" applyBorder="1"/>
    <xf numFmtId="0" fontId="0" fillId="0" borderId="10" xfId="0" applyFont="1" applyBorder="1"/>
    <xf numFmtId="0" fontId="0" fillId="0" borderId="9" xfId="0" applyFont="1" applyBorder="1"/>
    <xf numFmtId="0" fontId="0" fillId="0" borderId="11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11" xfId="0" applyFont="1" applyBorder="1"/>
    <xf numFmtId="9" fontId="0" fillId="0" borderId="11" xfId="2" applyFont="1" applyBorder="1"/>
    <xf numFmtId="0" fontId="0" fillId="0" borderId="9" xfId="0" applyFont="1" applyBorder="1" applyAlignment="1">
      <alignment horizontal="right"/>
    </xf>
    <xf numFmtId="0" fontId="0" fillId="0" borderId="1" xfId="0" applyFont="1" applyBorder="1"/>
    <xf numFmtId="9" fontId="0" fillId="0" borderId="1" xfId="2" applyFont="1" applyBorder="1"/>
    <xf numFmtId="0" fontId="0" fillId="0" borderId="13" xfId="0" applyFont="1" applyBorder="1" applyAlignment="1">
      <alignment horizontal="right"/>
    </xf>
    <xf numFmtId="164" fontId="0" fillId="5" borderId="2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14" xfId="0" quotePrefix="1" applyFont="1" applyBorder="1" applyAlignment="1">
      <alignment horizontal="right"/>
    </xf>
    <xf numFmtId="164" fontId="0" fillId="5" borderId="6" xfId="1" applyNumberFormat="1" applyFont="1" applyFill="1" applyBorder="1" applyAlignment="1">
      <alignment horizontal="center" vertical="center"/>
    </xf>
    <xf numFmtId="43" fontId="0" fillId="5" borderId="5" xfId="1" applyNumberFormat="1" applyFont="1" applyFill="1" applyBorder="1" applyAlignment="1">
      <alignment horizontal="center" vertical="center"/>
    </xf>
    <xf numFmtId="43" fontId="0" fillId="5" borderId="6" xfId="1" applyNumberFormat="1" applyFont="1" applyFill="1" applyBorder="1" applyAlignment="1">
      <alignment horizontal="center" vertical="center"/>
    </xf>
    <xf numFmtId="0" fontId="0" fillId="0" borderId="11" xfId="0" quotePrefix="1" applyFont="1" applyBorder="1" applyAlignment="1">
      <alignment horizontal="right"/>
    </xf>
    <xf numFmtId="0" fontId="0" fillId="0" borderId="0" xfId="0" quotePrefix="1" applyFont="1" applyAlignment="1">
      <alignment horizontal="right"/>
    </xf>
    <xf numFmtId="43" fontId="0" fillId="5" borderId="15" xfId="1" applyNumberFormat="1" applyFont="1" applyFill="1" applyBorder="1" applyAlignment="1">
      <alignment horizontal="center" vertical="center"/>
    </xf>
    <xf numFmtId="43" fontId="0" fillId="5" borderId="1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right"/>
    </xf>
    <xf numFmtId="164" fontId="0" fillId="0" borderId="11" xfId="0" applyNumberFormat="1" applyFont="1" applyBorder="1"/>
    <xf numFmtId="164" fontId="0" fillId="0" borderId="1" xfId="0" applyNumberFormat="1" applyFont="1" applyBorder="1"/>
    <xf numFmtId="0" fontId="0" fillId="0" borderId="0" xfId="0" applyFont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7" fontId="0" fillId="0" borderId="7" xfId="2" applyNumberFormat="1" applyFont="1" applyBorder="1" applyAlignment="1">
      <alignment horizontal="center"/>
    </xf>
    <xf numFmtId="166" fontId="0" fillId="5" borderId="6" xfId="1" applyNumberFormat="1" applyFont="1" applyFill="1" applyBorder="1" applyAlignment="1">
      <alignment horizontal="center" vertical="center"/>
    </xf>
    <xf numFmtId="43" fontId="0" fillId="5" borderId="5" xfId="0" applyNumberFormat="1" applyFont="1" applyFill="1" applyBorder="1"/>
    <xf numFmtId="166" fontId="0" fillId="5" borderId="6" xfId="0" applyNumberFormat="1" applyFont="1" applyFill="1" applyBorder="1"/>
    <xf numFmtId="0" fontId="0" fillId="0" borderId="0" xfId="0" applyFont="1" applyBorder="1"/>
    <xf numFmtId="43" fontId="0" fillId="5" borderId="15" xfId="0" applyNumberFormat="1" applyFont="1" applyFill="1" applyBorder="1"/>
    <xf numFmtId="166" fontId="0" fillId="5" borderId="11" xfId="0" applyNumberFormat="1" applyFont="1" applyFill="1" applyBorder="1"/>
    <xf numFmtId="43" fontId="0" fillId="0" borderId="1" xfId="0" applyNumberFormat="1" applyFont="1" applyBorder="1" applyAlignment="1">
      <alignment horizontal="center"/>
    </xf>
    <xf numFmtId="43" fontId="0" fillId="0" borderId="11" xfId="0" applyNumberFormat="1" applyFont="1" applyBorder="1"/>
    <xf numFmtId="43" fontId="0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CCFFCC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showGridLines="0" view="pageBreakPreview" zoomScaleNormal="100" zoomScaleSheetLayoutView="100" workbookViewId="0">
      <selection activeCell="C1" sqref="C1"/>
    </sheetView>
  </sheetViews>
  <sheetFormatPr defaultRowHeight="15" x14ac:dyDescent="0.25"/>
  <cols>
    <col min="1" max="1" width="4.140625" customWidth="1"/>
    <col min="2" max="2" width="24.85546875" customWidth="1"/>
    <col min="3" max="3" width="24.28515625" customWidth="1"/>
    <col min="4" max="4" width="15.5703125" customWidth="1"/>
    <col min="6" max="7" width="10.7109375" bestFit="1" customWidth="1"/>
  </cols>
  <sheetData>
    <row r="1" spans="2:10" x14ac:dyDescent="0.25">
      <c r="B1" s="1" t="s">
        <v>100</v>
      </c>
      <c r="C1" t="s">
        <v>101</v>
      </c>
    </row>
    <row r="2" spans="2:10" x14ac:dyDescent="0.25">
      <c r="B2" s="1" t="s">
        <v>0</v>
      </c>
      <c r="C2" s="61" t="s">
        <v>96</v>
      </c>
    </row>
    <row r="3" spans="2:10" x14ac:dyDescent="0.25">
      <c r="B3" s="1" t="s">
        <v>1</v>
      </c>
      <c r="C3" t="s">
        <v>92</v>
      </c>
    </row>
    <row r="4" spans="2:10" x14ac:dyDescent="0.25">
      <c r="B4" s="1" t="s">
        <v>2</v>
      </c>
      <c r="C4" s="54" t="s">
        <v>97</v>
      </c>
    </row>
    <row r="5" spans="2:10" x14ac:dyDescent="0.25">
      <c r="B5" s="1" t="s">
        <v>3</v>
      </c>
      <c r="C5" s="54"/>
    </row>
    <row r="6" spans="2:10" x14ac:dyDescent="0.25">
      <c r="B6" s="1" t="s">
        <v>4</v>
      </c>
      <c r="C6" s="54" t="s">
        <v>99</v>
      </c>
    </row>
    <row r="8" spans="2:10" x14ac:dyDescent="0.25">
      <c r="B8" s="2" t="s">
        <v>5</v>
      </c>
      <c r="C8" s="55" t="s">
        <v>98</v>
      </c>
      <c r="D8" s="4"/>
      <c r="E8" s="4"/>
      <c r="F8" s="4"/>
      <c r="G8" s="4"/>
      <c r="H8" s="4"/>
      <c r="I8" s="4"/>
      <c r="J8" s="4"/>
    </row>
    <row r="9" spans="2:10" x14ac:dyDescent="0.25">
      <c r="B9" s="2" t="s">
        <v>6</v>
      </c>
      <c r="C9" s="56">
        <v>10</v>
      </c>
      <c r="E9" s="6"/>
      <c r="F9" s="6"/>
    </row>
    <row r="10" spans="2:10" x14ac:dyDescent="0.25">
      <c r="B10" s="2" t="s">
        <v>7</v>
      </c>
      <c r="C10" s="56">
        <v>1.48</v>
      </c>
    </row>
    <row r="11" spans="2:10" x14ac:dyDescent="0.25">
      <c r="B11" s="2" t="s">
        <v>8</v>
      </c>
      <c r="C11" s="56">
        <v>0.7</v>
      </c>
    </row>
    <row r="12" spans="2:10" x14ac:dyDescent="0.25">
      <c r="B12" s="2" t="s">
        <v>10</v>
      </c>
      <c r="C12" s="56">
        <v>18.329999999999998</v>
      </c>
    </row>
    <row r="13" spans="2:10" x14ac:dyDescent="0.25">
      <c r="B13" s="2" t="s">
        <v>11</v>
      </c>
      <c r="C13" s="56">
        <v>23.78</v>
      </c>
    </row>
    <row r="14" spans="2:10" x14ac:dyDescent="0.25">
      <c r="B14" s="2" t="s">
        <v>12</v>
      </c>
      <c r="C14" s="57">
        <v>6</v>
      </c>
    </row>
    <row r="15" spans="2:10" x14ac:dyDescent="0.25">
      <c r="B15" s="2" t="s">
        <v>13</v>
      </c>
      <c r="C15" s="58">
        <v>60</v>
      </c>
    </row>
    <row r="16" spans="2:10" x14ac:dyDescent="0.25">
      <c r="B16" s="2" t="s">
        <v>14</v>
      </c>
      <c r="C16" s="56">
        <v>1.27</v>
      </c>
    </row>
    <row r="17" spans="2:3" x14ac:dyDescent="0.25">
      <c r="B17" s="2" t="s">
        <v>95</v>
      </c>
      <c r="C17" s="56">
        <v>1.46</v>
      </c>
    </row>
    <row r="18" spans="2:3" x14ac:dyDescent="0.25">
      <c r="B18" s="8"/>
    </row>
    <row r="20" spans="2:3" x14ac:dyDescent="0.25">
      <c r="B20" s="9" t="s">
        <v>16</v>
      </c>
    </row>
    <row r="21" spans="2:3" ht="29.45" customHeight="1" x14ac:dyDescent="0.25">
      <c r="B21" s="10" t="s">
        <v>17</v>
      </c>
      <c r="C21" s="3"/>
    </row>
    <row r="22" spans="2:3" x14ac:dyDescent="0.25">
      <c r="B22" s="2" t="s">
        <v>18</v>
      </c>
      <c r="C22" s="5"/>
    </row>
    <row r="23" spans="2:3" x14ac:dyDescent="0.25">
      <c r="B23" s="11"/>
      <c r="C23" s="5"/>
    </row>
    <row r="24" spans="2:3" x14ac:dyDescent="0.25">
      <c r="B24" s="2" t="s">
        <v>19</v>
      </c>
      <c r="C24" s="7"/>
    </row>
    <row r="25" spans="2:3" x14ac:dyDescent="0.25">
      <c r="B25" s="2" t="s">
        <v>20</v>
      </c>
      <c r="C25" s="7"/>
    </row>
    <row r="26" spans="2:3" x14ac:dyDescent="0.25">
      <c r="B26" s="2" t="s">
        <v>21</v>
      </c>
      <c r="C26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8"/>
  <sheetViews>
    <sheetView showGridLines="0" view="pageBreakPreview" zoomScaleNormal="100" zoomScaleSheetLayoutView="100" workbookViewId="0">
      <selection activeCell="C2" sqref="C2"/>
    </sheetView>
  </sheetViews>
  <sheetFormatPr defaultColWidth="8.85546875" defaultRowHeight="15" x14ac:dyDescent="0.25"/>
  <cols>
    <col min="1" max="1" width="3.85546875" style="65" customWidth="1"/>
    <col min="2" max="2" width="35.28515625" style="65" bestFit="1" customWidth="1"/>
    <col min="3" max="3" width="10.140625" style="65" customWidth="1"/>
    <col min="4" max="4" width="13.28515625" style="65" bestFit="1" customWidth="1"/>
    <col min="5" max="5" width="8.85546875" style="65"/>
    <col min="6" max="6" width="3.5703125" style="65" customWidth="1"/>
    <col min="7" max="7" width="8.85546875" style="65"/>
    <col min="8" max="8" width="11.7109375" style="65" bestFit="1" customWidth="1"/>
    <col min="9" max="9" width="11.7109375" style="65" customWidth="1"/>
    <col min="10" max="10" width="14.140625" style="65" bestFit="1" customWidth="1"/>
    <col min="11" max="12" width="11.7109375" style="65" customWidth="1"/>
    <col min="13" max="16384" width="8.85546875" style="65"/>
  </cols>
  <sheetData>
    <row r="1" spans="2:8" x14ac:dyDescent="0.25">
      <c r="B1" s="1" t="s">
        <v>100</v>
      </c>
      <c r="C1" s="65" t="s">
        <v>101</v>
      </c>
    </row>
    <row r="2" spans="2:8" x14ac:dyDescent="0.25">
      <c r="B2" s="1" t="s">
        <v>0</v>
      </c>
      <c r="C2" s="63" t="str">
        <f>'Raw Coal analysis'!C2</f>
        <v>PR11_B35_4C</v>
      </c>
      <c r="D2" s="63"/>
      <c r="E2" s="64"/>
    </row>
    <row r="3" spans="2:8" x14ac:dyDescent="0.25">
      <c r="B3" s="1" t="s">
        <v>1</v>
      </c>
      <c r="C3" s="73" t="s">
        <v>22</v>
      </c>
      <c r="D3" s="73"/>
    </row>
    <row r="4" spans="2:8" x14ac:dyDescent="0.25">
      <c r="B4" s="1" t="s">
        <v>2</v>
      </c>
      <c r="C4" s="74" t="str">
        <f>'Raw Coal analysis'!C4</f>
        <v>2019.09.19</v>
      </c>
      <c r="D4" s="74"/>
    </row>
    <row r="5" spans="2:8" x14ac:dyDescent="0.25">
      <c r="B5" s="1" t="s">
        <v>3</v>
      </c>
      <c r="C5" s="74">
        <f>'Raw Coal analysis'!C5</f>
        <v>0</v>
      </c>
      <c r="D5" s="74"/>
    </row>
    <row r="6" spans="2:8" x14ac:dyDescent="0.25">
      <c r="B6" s="1" t="s">
        <v>4</v>
      </c>
      <c r="C6" s="74" t="str">
        <f>'Raw Coal analysis'!C6</f>
        <v>2019.09.06</v>
      </c>
      <c r="D6" s="74"/>
    </row>
    <row r="7" spans="2:8" x14ac:dyDescent="0.25">
      <c r="G7" s="92"/>
      <c r="H7" s="92"/>
    </row>
    <row r="8" spans="2:8" ht="30" x14ac:dyDescent="0.25">
      <c r="B8" s="93" t="s">
        <v>102</v>
      </c>
      <c r="C8" s="94" t="s">
        <v>23</v>
      </c>
      <c r="D8" s="95" t="s">
        <v>24</v>
      </c>
      <c r="E8" s="95" t="s">
        <v>25</v>
      </c>
      <c r="G8" s="92"/>
      <c r="H8" s="92"/>
    </row>
    <row r="9" spans="2:8" x14ac:dyDescent="0.25">
      <c r="B9" s="96" t="s">
        <v>26</v>
      </c>
      <c r="C9" s="97"/>
      <c r="D9" s="98">
        <v>212.4</v>
      </c>
      <c r="E9" s="99"/>
      <c r="G9" s="92"/>
      <c r="H9" s="92"/>
    </row>
    <row r="10" spans="2:8" x14ac:dyDescent="0.25">
      <c r="B10" s="100"/>
      <c r="C10" s="101" t="s">
        <v>27</v>
      </c>
      <c r="D10" s="102">
        <v>16.100000000000001</v>
      </c>
      <c r="E10" s="103">
        <f>D10/$D$14</f>
        <v>7.4883720930232558E-2</v>
      </c>
    </row>
    <row r="11" spans="2:8" x14ac:dyDescent="0.25">
      <c r="B11" s="100" t="s">
        <v>28</v>
      </c>
      <c r="C11" s="101"/>
      <c r="D11" s="102">
        <v>196.3</v>
      </c>
      <c r="E11" s="103">
        <f>D11/$D$14</f>
        <v>0.91302325581395349</v>
      </c>
    </row>
    <row r="12" spans="2:8" x14ac:dyDescent="0.25">
      <c r="B12" s="104" t="s">
        <v>29</v>
      </c>
      <c r="C12" s="105"/>
      <c r="D12" s="106">
        <f>D9-(D10+D11)</f>
        <v>0</v>
      </c>
      <c r="E12" s="107">
        <f>D12/D9</f>
        <v>0</v>
      </c>
    </row>
    <row r="13" spans="2:8" ht="7.15" customHeight="1" x14ac:dyDescent="0.25">
      <c r="B13" s="108"/>
      <c r="C13" s="109"/>
      <c r="D13" s="109"/>
      <c r="E13" s="110"/>
    </row>
    <row r="14" spans="2:8" x14ac:dyDescent="0.25">
      <c r="B14" s="111" t="s">
        <v>30</v>
      </c>
      <c r="C14" s="112"/>
      <c r="D14" s="113">
        <v>215</v>
      </c>
      <c r="E14" s="114">
        <f>D14/D9</f>
        <v>1.012241054613936</v>
      </c>
    </row>
    <row r="15" spans="2:8" x14ac:dyDescent="0.25">
      <c r="B15" s="105" t="s">
        <v>31</v>
      </c>
      <c r="C15" s="115"/>
      <c r="D15" s="116">
        <v>212.4</v>
      </c>
      <c r="E15" s="117">
        <f>D15/D9</f>
        <v>1</v>
      </c>
    </row>
    <row r="16" spans="2:8" ht="6" customHeight="1" x14ac:dyDescent="0.25"/>
    <row r="17" spans="2:12" ht="30" x14ac:dyDescent="0.25">
      <c r="B17" s="93" t="s">
        <v>32</v>
      </c>
      <c r="C17" s="94" t="s">
        <v>23</v>
      </c>
      <c r="D17" s="95" t="s">
        <v>24</v>
      </c>
      <c r="E17" s="95" t="s">
        <v>25</v>
      </c>
      <c r="G17" s="95" t="s">
        <v>8</v>
      </c>
      <c r="H17" s="95" t="s">
        <v>10</v>
      </c>
    </row>
    <row r="18" spans="2:12" x14ac:dyDescent="0.25">
      <c r="B18" s="97" t="s">
        <v>26</v>
      </c>
      <c r="C18" s="118"/>
      <c r="D18" s="119">
        <v>100</v>
      </c>
      <c r="E18" s="99" t="s">
        <v>9</v>
      </c>
      <c r="G18" s="120" t="s">
        <v>9</v>
      </c>
      <c r="H18" s="120" t="s">
        <v>9</v>
      </c>
      <c r="L18" s="121"/>
    </row>
    <row r="19" spans="2:12" x14ac:dyDescent="0.25">
      <c r="B19" s="101" t="s">
        <v>28</v>
      </c>
      <c r="C19" s="122" t="s">
        <v>33</v>
      </c>
      <c r="D19" s="123">
        <v>11.2</v>
      </c>
      <c r="E19" s="103">
        <f>D19/$D$28</f>
        <v>0.11463664278403274</v>
      </c>
      <c r="G19" s="124">
        <v>0.87</v>
      </c>
      <c r="H19" s="125">
        <v>28.13</v>
      </c>
      <c r="L19" s="121"/>
    </row>
    <row r="20" spans="2:12" x14ac:dyDescent="0.25">
      <c r="B20" s="101" t="s">
        <v>34</v>
      </c>
      <c r="C20" s="122" t="s">
        <v>35</v>
      </c>
      <c r="D20" s="123">
        <v>13.4</v>
      </c>
      <c r="E20" s="103">
        <f t="shared" ref="E20:E25" si="0">D20/$D$28</f>
        <v>0.13715455475946775</v>
      </c>
      <c r="G20" s="124">
        <v>1.08</v>
      </c>
      <c r="H20" s="125">
        <v>30.41</v>
      </c>
      <c r="L20" s="121"/>
    </row>
    <row r="21" spans="2:12" x14ac:dyDescent="0.25">
      <c r="B21" s="101" t="s">
        <v>36</v>
      </c>
      <c r="C21" s="122" t="s">
        <v>37</v>
      </c>
      <c r="D21" s="123">
        <v>18.3</v>
      </c>
      <c r="E21" s="103">
        <f t="shared" si="0"/>
        <v>0.18730808597748208</v>
      </c>
      <c r="G21" s="124">
        <v>0.87</v>
      </c>
      <c r="H21" s="125">
        <v>24.05</v>
      </c>
      <c r="L21" s="121"/>
    </row>
    <row r="22" spans="2:12" x14ac:dyDescent="0.25">
      <c r="B22" s="101" t="s">
        <v>38</v>
      </c>
      <c r="C22" s="122" t="s">
        <v>39</v>
      </c>
      <c r="D22" s="123">
        <v>15.2</v>
      </c>
      <c r="E22" s="103">
        <f t="shared" si="0"/>
        <v>0.1555783009211873</v>
      </c>
      <c r="G22" s="124">
        <v>0.89</v>
      </c>
      <c r="H22" s="125">
        <v>18.66</v>
      </c>
      <c r="L22" s="121"/>
    </row>
    <row r="23" spans="2:12" x14ac:dyDescent="0.25">
      <c r="B23" s="101" t="s">
        <v>40</v>
      </c>
      <c r="C23" s="122" t="s">
        <v>41</v>
      </c>
      <c r="D23" s="123">
        <v>18.2</v>
      </c>
      <c r="E23" s="103">
        <f t="shared" si="0"/>
        <v>0.18628454452405321</v>
      </c>
      <c r="G23" s="124">
        <v>0.78</v>
      </c>
      <c r="H23" s="125">
        <v>15.12</v>
      </c>
      <c r="L23" s="121"/>
    </row>
    <row r="24" spans="2:12" x14ac:dyDescent="0.25">
      <c r="B24" s="101" t="s">
        <v>42</v>
      </c>
      <c r="C24" s="122" t="s">
        <v>43</v>
      </c>
      <c r="D24" s="123">
        <v>11.6</v>
      </c>
      <c r="E24" s="103">
        <f t="shared" si="0"/>
        <v>0.11873080859774821</v>
      </c>
      <c r="G24" s="124">
        <v>0.98</v>
      </c>
      <c r="H24" s="125">
        <v>15.29</v>
      </c>
      <c r="L24" s="121"/>
    </row>
    <row r="25" spans="2:12" x14ac:dyDescent="0.25">
      <c r="B25" s="126" t="s">
        <v>44</v>
      </c>
      <c r="C25" s="127" t="s">
        <v>45</v>
      </c>
      <c r="D25" s="123">
        <v>9.8000000000000007</v>
      </c>
      <c r="E25" s="103">
        <f t="shared" si="0"/>
        <v>0.10030706243602866</v>
      </c>
      <c r="G25" s="128">
        <v>0.86</v>
      </c>
      <c r="H25" s="129">
        <v>19.170000000000002</v>
      </c>
      <c r="L25" s="121"/>
    </row>
    <row r="26" spans="2:12" x14ac:dyDescent="0.25">
      <c r="B26" s="105" t="s">
        <v>29</v>
      </c>
      <c r="C26" s="130"/>
      <c r="D26" s="106">
        <f>D18-SUM(D19:D25)</f>
        <v>2.2999999999999972</v>
      </c>
      <c r="E26" s="107">
        <f>D26/D18</f>
        <v>2.2999999999999972E-2</v>
      </c>
    </row>
    <row r="27" spans="2:12" ht="7.9" customHeight="1" x14ac:dyDescent="0.25">
      <c r="B27" s="108"/>
      <c r="C27" s="109"/>
      <c r="D27" s="109"/>
      <c r="E27" s="110"/>
    </row>
    <row r="28" spans="2:12" x14ac:dyDescent="0.25">
      <c r="B28" s="111" t="s">
        <v>30</v>
      </c>
      <c r="C28" s="112"/>
      <c r="D28" s="131">
        <f>SUM(D19:D25)</f>
        <v>97.7</v>
      </c>
      <c r="E28" s="114">
        <f>D28/D18</f>
        <v>0.97699999999999998</v>
      </c>
    </row>
    <row r="29" spans="2:12" x14ac:dyDescent="0.25">
      <c r="B29" s="105" t="s">
        <v>31</v>
      </c>
      <c r="C29" s="115"/>
      <c r="D29" s="132">
        <f>SUM(D19:D25)+D26</f>
        <v>100</v>
      </c>
      <c r="E29" s="117">
        <f>D29/D18</f>
        <v>1</v>
      </c>
    </row>
    <row r="31" spans="2:12" ht="30" x14ac:dyDescent="0.25">
      <c r="B31" s="93" t="s">
        <v>46</v>
      </c>
      <c r="C31" s="94" t="s">
        <v>23</v>
      </c>
      <c r="D31" s="95" t="s">
        <v>24</v>
      </c>
      <c r="E31" s="95" t="s">
        <v>25</v>
      </c>
      <c r="F31" s="133"/>
      <c r="G31" s="95" t="s">
        <v>8</v>
      </c>
      <c r="H31" s="95" t="s">
        <v>10</v>
      </c>
      <c r="I31" s="95" t="s">
        <v>94</v>
      </c>
      <c r="J31" s="95" t="s">
        <v>14</v>
      </c>
      <c r="K31" s="95" t="s">
        <v>63</v>
      </c>
    </row>
    <row r="32" spans="2:12" x14ac:dyDescent="0.25">
      <c r="B32" s="97" t="s">
        <v>26</v>
      </c>
      <c r="C32" s="118"/>
      <c r="D32" s="119">
        <v>50</v>
      </c>
      <c r="E32" s="99" t="s">
        <v>9</v>
      </c>
      <c r="G32" s="134" t="s">
        <v>9</v>
      </c>
      <c r="H32" s="120" t="s">
        <v>9</v>
      </c>
      <c r="I32" s="120" t="s">
        <v>9</v>
      </c>
      <c r="J32" s="120" t="s">
        <v>9</v>
      </c>
      <c r="K32" s="120" t="s">
        <v>9</v>
      </c>
      <c r="L32" s="121"/>
    </row>
    <row r="33" spans="2:12" x14ac:dyDescent="0.25">
      <c r="B33" s="101" t="s">
        <v>28</v>
      </c>
      <c r="C33" s="122" t="s">
        <v>33</v>
      </c>
      <c r="D33" s="125">
        <v>2.7</v>
      </c>
      <c r="E33" s="135">
        <f>D33/$D$47</f>
        <v>5.775154004106775E-2</v>
      </c>
      <c r="G33" s="124">
        <v>0.72</v>
      </c>
      <c r="H33" s="124">
        <v>16.21</v>
      </c>
      <c r="I33" s="124">
        <v>23.98</v>
      </c>
      <c r="J33" s="124">
        <v>1.75</v>
      </c>
      <c r="K33" s="136">
        <v>7.5</v>
      </c>
      <c r="L33" s="121"/>
    </row>
    <row r="34" spans="2:12" x14ac:dyDescent="0.25">
      <c r="B34" s="101" t="s">
        <v>34</v>
      </c>
      <c r="C34" s="127" t="s">
        <v>35</v>
      </c>
      <c r="D34" s="125">
        <v>4.2</v>
      </c>
      <c r="E34" s="135">
        <f t="shared" ref="E34:E44" si="1">D34/$D$47</f>
        <v>8.9835728952772059E-2</v>
      </c>
      <c r="G34" s="124">
        <v>1</v>
      </c>
      <c r="H34" s="124">
        <v>15.67</v>
      </c>
      <c r="I34" s="124">
        <v>23.65</v>
      </c>
      <c r="J34" s="124">
        <v>1</v>
      </c>
      <c r="K34" s="136">
        <v>7</v>
      </c>
      <c r="L34" s="121"/>
    </row>
    <row r="35" spans="2:12" x14ac:dyDescent="0.25">
      <c r="B35" s="101" t="s">
        <v>36</v>
      </c>
      <c r="C35" s="127" t="s">
        <v>37</v>
      </c>
      <c r="D35" s="125">
        <v>7.9</v>
      </c>
      <c r="E35" s="135">
        <f t="shared" si="1"/>
        <v>0.16897672826830934</v>
      </c>
      <c r="G35" s="124">
        <v>0.8</v>
      </c>
      <c r="H35" s="124">
        <v>18.18</v>
      </c>
      <c r="I35" s="124">
        <v>23.98</v>
      </c>
      <c r="J35" s="124">
        <v>0.85</v>
      </c>
      <c r="K35" s="136">
        <v>5.5</v>
      </c>
      <c r="L35" s="121"/>
    </row>
    <row r="36" spans="2:12" x14ac:dyDescent="0.25">
      <c r="B36" s="101" t="s">
        <v>38</v>
      </c>
      <c r="C36" s="127" t="s">
        <v>39</v>
      </c>
      <c r="D36" s="125">
        <v>7.9</v>
      </c>
      <c r="E36" s="135">
        <f t="shared" si="1"/>
        <v>0.16897672826830934</v>
      </c>
      <c r="G36" s="124">
        <v>0.88</v>
      </c>
      <c r="H36" s="124">
        <v>15.46</v>
      </c>
      <c r="I36" s="124">
        <v>26.06</v>
      </c>
      <c r="J36" s="124">
        <v>0.62</v>
      </c>
      <c r="K36" s="136">
        <v>2.5</v>
      </c>
      <c r="L36" s="121"/>
    </row>
    <row r="37" spans="2:12" x14ac:dyDescent="0.25">
      <c r="B37" s="101" t="s">
        <v>40</v>
      </c>
      <c r="C37" s="127" t="s">
        <v>41</v>
      </c>
      <c r="D37" s="125">
        <v>11.7</v>
      </c>
      <c r="E37" s="135">
        <f t="shared" si="1"/>
        <v>0.25025667351129355</v>
      </c>
      <c r="G37" s="124">
        <v>0.91</v>
      </c>
      <c r="H37" s="124">
        <v>15.99</v>
      </c>
      <c r="I37" s="124">
        <v>26.28</v>
      </c>
      <c r="J37" s="124">
        <v>0.73</v>
      </c>
      <c r="K37" s="136">
        <v>0.5</v>
      </c>
      <c r="L37" s="121"/>
    </row>
    <row r="38" spans="2:12" x14ac:dyDescent="0.25">
      <c r="B38" s="101" t="s">
        <v>42</v>
      </c>
      <c r="C38" s="127" t="s">
        <v>43</v>
      </c>
      <c r="D38" s="125">
        <v>5.7</v>
      </c>
      <c r="E38" s="135">
        <f t="shared" si="1"/>
        <v>0.12191991786447637</v>
      </c>
      <c r="G38" s="124">
        <v>0.74</v>
      </c>
      <c r="H38" s="124">
        <v>16.79</v>
      </c>
      <c r="I38" s="124">
        <v>26.07</v>
      </c>
      <c r="J38" s="124">
        <v>0.66</v>
      </c>
      <c r="K38" s="136">
        <v>3</v>
      </c>
      <c r="L38" s="121"/>
    </row>
    <row r="39" spans="2:12" x14ac:dyDescent="0.25">
      <c r="B39" s="101" t="s">
        <v>44</v>
      </c>
      <c r="C39" s="127" t="s">
        <v>47</v>
      </c>
      <c r="D39" s="125">
        <v>4.3</v>
      </c>
      <c r="E39" s="135">
        <f t="shared" si="1"/>
        <v>9.1974674880219001E-2</v>
      </c>
      <c r="G39" s="124">
        <v>0.93</v>
      </c>
      <c r="H39" s="124">
        <v>16.690000000000001</v>
      </c>
      <c r="I39" s="124">
        <v>26.01</v>
      </c>
      <c r="J39" s="124">
        <v>0.72</v>
      </c>
      <c r="K39" s="136">
        <v>1</v>
      </c>
      <c r="L39" s="121"/>
    </row>
    <row r="40" spans="2:12" x14ac:dyDescent="0.25">
      <c r="B40" s="101" t="s">
        <v>48</v>
      </c>
      <c r="C40" s="127" t="s">
        <v>49</v>
      </c>
      <c r="D40" s="125">
        <v>0.78700000000000003</v>
      </c>
      <c r="E40" s="135">
        <f t="shared" si="1"/>
        <v>1.6833504449007525E-2</v>
      </c>
      <c r="G40" s="137">
        <v>0.94</v>
      </c>
      <c r="H40" s="124">
        <v>16.2</v>
      </c>
      <c r="I40" s="124">
        <v>26.7</v>
      </c>
      <c r="J40" s="124">
        <v>0.73</v>
      </c>
      <c r="K40" s="138">
        <v>2.5</v>
      </c>
      <c r="L40" s="139"/>
    </row>
    <row r="41" spans="2:12" x14ac:dyDescent="0.25">
      <c r="B41" s="101" t="s">
        <v>50</v>
      </c>
      <c r="C41" s="127" t="s">
        <v>51</v>
      </c>
      <c r="D41" s="125">
        <v>0.45</v>
      </c>
      <c r="E41" s="135">
        <f t="shared" si="1"/>
        <v>9.6252566735112923E-3</v>
      </c>
      <c r="G41" s="137">
        <v>0.8</v>
      </c>
      <c r="H41" s="124">
        <v>17.600000000000001</v>
      </c>
      <c r="I41" s="124">
        <v>25.93</v>
      </c>
      <c r="J41" s="124">
        <v>0.95</v>
      </c>
      <c r="K41" s="138">
        <v>5.5</v>
      </c>
      <c r="L41" s="139"/>
    </row>
    <row r="42" spans="2:12" x14ac:dyDescent="0.25">
      <c r="B42" s="101" t="s">
        <v>52</v>
      </c>
      <c r="C42" s="127" t="s">
        <v>53</v>
      </c>
      <c r="D42" s="125">
        <v>0.35699999999999998</v>
      </c>
      <c r="E42" s="135">
        <f t="shared" si="1"/>
        <v>7.6360369609856241E-3</v>
      </c>
      <c r="G42" s="137">
        <v>0.56000000000000005</v>
      </c>
      <c r="H42" s="124">
        <v>24.1</v>
      </c>
      <c r="I42" s="124">
        <v>25.83</v>
      </c>
      <c r="J42" s="124">
        <v>1.28</v>
      </c>
      <c r="K42" s="138">
        <v>7</v>
      </c>
      <c r="L42" s="139"/>
    </row>
    <row r="43" spans="2:12" x14ac:dyDescent="0.25">
      <c r="B43" s="101" t="s">
        <v>54</v>
      </c>
      <c r="C43" s="127" t="s">
        <v>55</v>
      </c>
      <c r="D43" s="125">
        <v>0.39200000000000002</v>
      </c>
      <c r="E43" s="135">
        <f t="shared" si="1"/>
        <v>8.3846680355920584E-3</v>
      </c>
      <c r="G43" s="137">
        <v>0.94</v>
      </c>
      <c r="H43" s="124">
        <v>28.65</v>
      </c>
      <c r="I43" s="124">
        <v>24.23</v>
      </c>
      <c r="J43" s="124">
        <v>1.54</v>
      </c>
      <c r="K43" s="138">
        <v>6.5</v>
      </c>
      <c r="L43" s="139"/>
    </row>
    <row r="44" spans="2:12" x14ac:dyDescent="0.25">
      <c r="B44" s="126" t="s">
        <v>56</v>
      </c>
      <c r="C44" s="127"/>
      <c r="D44" s="125">
        <v>0.36599999999999999</v>
      </c>
      <c r="E44" s="135">
        <f t="shared" si="1"/>
        <v>7.8285420944558502E-3</v>
      </c>
      <c r="G44" s="140">
        <v>0.95</v>
      </c>
      <c r="H44" s="128">
        <v>27.48</v>
      </c>
      <c r="I44" s="128">
        <v>22.57</v>
      </c>
      <c r="J44" s="129">
        <v>0.94</v>
      </c>
      <c r="K44" s="141">
        <v>7</v>
      </c>
      <c r="L44" s="139"/>
    </row>
    <row r="45" spans="2:12" x14ac:dyDescent="0.25">
      <c r="B45" s="105" t="s">
        <v>29</v>
      </c>
      <c r="C45" s="130"/>
      <c r="D45" s="142">
        <f>D32-SUM(D33:D44)</f>
        <v>3.2479999999999905</v>
      </c>
      <c r="E45" s="107">
        <f>D45/D32</f>
        <v>6.495999999999981E-2</v>
      </c>
    </row>
    <row r="46" spans="2:12" x14ac:dyDescent="0.25">
      <c r="B46" s="108"/>
      <c r="C46" s="109"/>
      <c r="D46" s="109"/>
      <c r="E46" s="110"/>
    </row>
    <row r="47" spans="2:12" x14ac:dyDescent="0.25">
      <c r="B47" s="111" t="s">
        <v>30</v>
      </c>
      <c r="C47" s="112"/>
      <c r="D47" s="143">
        <f>SUM(D33:D44)</f>
        <v>46.75200000000001</v>
      </c>
      <c r="E47" s="114">
        <f>D47/D32</f>
        <v>0.9350400000000002</v>
      </c>
    </row>
    <row r="48" spans="2:12" x14ac:dyDescent="0.25">
      <c r="B48" s="105" t="s">
        <v>31</v>
      </c>
      <c r="C48" s="115"/>
      <c r="D48" s="144">
        <f>SUM(D33:D44)+D45</f>
        <v>50</v>
      </c>
      <c r="E48" s="117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90"/>
  <sheetViews>
    <sheetView showGridLines="0" tabSelected="1" topLeftCell="B1" zoomScaleNormal="100" zoomScaleSheetLayoutView="110" workbookViewId="0">
      <selection activeCell="E4" sqref="E4:G4"/>
    </sheetView>
  </sheetViews>
  <sheetFormatPr defaultRowHeight="15" x14ac:dyDescent="0.25"/>
  <cols>
    <col min="1" max="1" width="6" style="30" customWidth="1"/>
    <col min="2" max="3" width="9.140625" style="30"/>
    <col min="4" max="4" width="9.85546875" style="30" customWidth="1"/>
    <col min="5" max="6" width="9.140625" style="30"/>
    <col min="7" max="7" width="10.42578125" style="30" bestFit="1" customWidth="1"/>
    <col min="8" max="11" width="9.140625" style="30"/>
    <col min="12" max="12" width="13.7109375" style="30" customWidth="1"/>
    <col min="13" max="16384" width="9.140625" style="30"/>
  </cols>
  <sheetData>
    <row r="1" spans="2:13" x14ac:dyDescent="0.25">
      <c r="B1" s="29" t="s">
        <v>100</v>
      </c>
      <c r="E1" s="30" t="s">
        <v>101</v>
      </c>
    </row>
    <row r="2" spans="2:13" x14ac:dyDescent="0.25">
      <c r="B2" s="29" t="s">
        <v>0</v>
      </c>
      <c r="C2" s="29"/>
      <c r="E2" s="75" t="str">
        <f>'Raw Coal analysis'!C2</f>
        <v>PR11_B35_4C</v>
      </c>
      <c r="F2" s="75"/>
      <c r="G2" s="75"/>
    </row>
    <row r="3" spans="2:13" x14ac:dyDescent="0.25">
      <c r="B3" s="29" t="s">
        <v>1</v>
      </c>
      <c r="C3" s="29"/>
      <c r="E3" s="75" t="s">
        <v>93</v>
      </c>
      <c r="F3" s="75"/>
      <c r="G3" s="75"/>
    </row>
    <row r="4" spans="2:13" x14ac:dyDescent="0.25">
      <c r="B4" s="29" t="s">
        <v>2</v>
      </c>
      <c r="C4" s="29"/>
      <c r="E4" s="75" t="str">
        <f>'Raw Coal analysis'!C4</f>
        <v>2019.09.19</v>
      </c>
      <c r="F4" s="75"/>
      <c r="G4" s="75"/>
    </row>
    <row r="5" spans="2:13" x14ac:dyDescent="0.25">
      <c r="B5" s="29" t="s">
        <v>3</v>
      </c>
      <c r="C5" s="29"/>
      <c r="E5" s="75">
        <f>'Raw Coal analysis'!C5</f>
        <v>0</v>
      </c>
      <c r="F5" s="75"/>
      <c r="G5" s="75"/>
    </row>
    <row r="6" spans="2:13" x14ac:dyDescent="0.25">
      <c r="B6" s="29" t="s">
        <v>4</v>
      </c>
      <c r="C6" s="29"/>
      <c r="E6" s="75" t="str">
        <f>'Raw Coal analysis'!C6</f>
        <v>2019.09.06</v>
      </c>
      <c r="F6" s="75"/>
      <c r="G6" s="75"/>
    </row>
    <row r="7" spans="2:13" x14ac:dyDescent="0.25">
      <c r="B7" s="29"/>
      <c r="C7" s="29"/>
    </row>
    <row r="8" spans="2:13" x14ac:dyDescent="0.25">
      <c r="B8" s="31"/>
      <c r="C8" s="32"/>
      <c r="D8" s="33"/>
      <c r="E8" s="34"/>
      <c r="F8" s="35"/>
      <c r="G8" s="77" t="s">
        <v>57</v>
      </c>
      <c r="H8" s="77"/>
      <c r="I8" s="77"/>
      <c r="J8" s="77"/>
      <c r="K8" s="77"/>
      <c r="L8" s="77"/>
      <c r="M8" s="78"/>
    </row>
    <row r="9" spans="2:13" ht="30" x14ac:dyDescent="0.25">
      <c r="B9" s="79" t="s">
        <v>58</v>
      </c>
      <c r="C9" s="80"/>
      <c r="D9" s="36" t="s">
        <v>59</v>
      </c>
      <c r="E9" s="81" t="s">
        <v>60</v>
      </c>
      <c r="F9" s="82"/>
      <c r="G9" s="83" t="s">
        <v>61</v>
      </c>
      <c r="H9" s="84"/>
      <c r="I9" s="12" t="s">
        <v>10</v>
      </c>
      <c r="J9" s="12" t="s">
        <v>62</v>
      </c>
      <c r="K9" s="12" t="s">
        <v>94</v>
      </c>
      <c r="L9" s="12" t="s">
        <v>14</v>
      </c>
      <c r="M9" s="12" t="s">
        <v>63</v>
      </c>
    </row>
    <row r="10" spans="2:13" x14ac:dyDescent="0.25">
      <c r="B10" s="37"/>
      <c r="C10" s="37"/>
      <c r="D10" s="37"/>
      <c r="E10" s="37" t="s">
        <v>64</v>
      </c>
      <c r="F10" s="37" t="s">
        <v>65</v>
      </c>
      <c r="G10" s="37" t="s">
        <v>66</v>
      </c>
      <c r="H10" s="37" t="s">
        <v>67</v>
      </c>
      <c r="I10" s="37" t="s">
        <v>67</v>
      </c>
      <c r="J10" s="37" t="s">
        <v>68</v>
      </c>
      <c r="K10" s="37" t="s">
        <v>69</v>
      </c>
      <c r="L10" s="37"/>
      <c r="M10" s="37"/>
    </row>
    <row r="11" spans="2:13" x14ac:dyDescent="0.25">
      <c r="B11" s="38" t="s">
        <v>70</v>
      </c>
      <c r="C11" s="39" t="s">
        <v>71</v>
      </c>
      <c r="D11" s="40"/>
      <c r="E11" s="41"/>
      <c r="F11" s="41"/>
      <c r="G11" s="68">
        <v>5000</v>
      </c>
      <c r="H11" s="41"/>
      <c r="I11" s="41"/>
      <c r="J11" s="41"/>
      <c r="K11" s="41"/>
      <c r="L11" s="41"/>
      <c r="M11" s="41"/>
    </row>
    <row r="12" spans="2:13" x14ac:dyDescent="0.25">
      <c r="B12" s="42"/>
      <c r="C12" s="43"/>
      <c r="D12" s="44"/>
      <c r="E12" s="45">
        <v>1.25</v>
      </c>
      <c r="F12" s="67">
        <v>1.3</v>
      </c>
      <c r="G12" s="66">
        <v>1124.3</v>
      </c>
      <c r="H12" s="47">
        <f t="shared" ref="H12:H25" si="0">G12/$G$26*100</f>
        <v>24.270880556095246</v>
      </c>
      <c r="I12" s="59">
        <v>8.25</v>
      </c>
      <c r="J12" s="59">
        <v>1.07</v>
      </c>
      <c r="K12" s="59">
        <v>24.78</v>
      </c>
      <c r="L12" s="59">
        <v>0.81</v>
      </c>
      <c r="M12" s="71">
        <v>3.5</v>
      </c>
    </row>
    <row r="13" spans="2:13" x14ac:dyDescent="0.25">
      <c r="B13" s="42"/>
      <c r="C13" s="43"/>
      <c r="D13" s="44"/>
      <c r="E13" s="48">
        <f>F12</f>
        <v>1.3</v>
      </c>
      <c r="F13" s="46">
        <v>1.325</v>
      </c>
      <c r="G13" s="66">
        <v>214</v>
      </c>
      <c r="H13" s="47">
        <f t="shared" si="0"/>
        <v>4.6197353366578167</v>
      </c>
      <c r="I13" s="59">
        <v>11.74</v>
      </c>
      <c r="J13" s="59">
        <v>0.99</v>
      </c>
      <c r="K13" s="59">
        <v>23.98</v>
      </c>
      <c r="L13" s="59">
        <v>0.62</v>
      </c>
      <c r="M13" s="71">
        <v>3</v>
      </c>
    </row>
    <row r="14" spans="2:13" x14ac:dyDescent="0.25">
      <c r="B14" s="42"/>
      <c r="C14" s="43"/>
      <c r="D14" s="44"/>
      <c r="E14" s="48">
        <f t="shared" ref="E14:E24" si="1">F13</f>
        <v>1.325</v>
      </c>
      <c r="F14" s="46">
        <v>1.35</v>
      </c>
      <c r="G14" s="66">
        <v>545.79999999999995</v>
      </c>
      <c r="H14" s="47">
        <f t="shared" si="0"/>
        <v>11.782483863307645</v>
      </c>
      <c r="I14" s="59">
        <v>13.42</v>
      </c>
      <c r="J14" s="59">
        <v>1</v>
      </c>
      <c r="K14" s="59">
        <v>24.29</v>
      </c>
      <c r="L14" s="59">
        <v>0.87</v>
      </c>
      <c r="M14" s="71">
        <v>2</v>
      </c>
    </row>
    <row r="15" spans="2:13" x14ac:dyDescent="0.25">
      <c r="B15" s="42"/>
      <c r="C15" s="43"/>
      <c r="D15" s="44"/>
      <c r="E15" s="48">
        <f t="shared" si="1"/>
        <v>1.35</v>
      </c>
      <c r="F15" s="46">
        <v>1.375</v>
      </c>
      <c r="G15" s="66">
        <v>606</v>
      </c>
      <c r="H15" s="47">
        <f t="shared" si="0"/>
        <v>13.082054271096432</v>
      </c>
      <c r="I15" s="59">
        <v>15.42</v>
      </c>
      <c r="J15" s="59">
        <v>1.03</v>
      </c>
      <c r="K15" s="59">
        <v>23.17</v>
      </c>
      <c r="L15" s="59">
        <v>0.9</v>
      </c>
      <c r="M15" s="71">
        <v>1.5</v>
      </c>
    </row>
    <row r="16" spans="2:13" x14ac:dyDescent="0.25">
      <c r="B16" s="42"/>
      <c r="C16" s="43"/>
      <c r="D16" s="44"/>
      <c r="E16" s="48">
        <f t="shared" si="1"/>
        <v>1.375</v>
      </c>
      <c r="F16" s="46">
        <v>1.4</v>
      </c>
      <c r="G16" s="66">
        <v>555.5</v>
      </c>
      <c r="H16" s="47">
        <f t="shared" si="0"/>
        <v>11.991883081838397</v>
      </c>
      <c r="I16" s="59">
        <v>17.71</v>
      </c>
      <c r="J16" s="59">
        <v>0.97</v>
      </c>
      <c r="K16" s="59">
        <v>22.48</v>
      </c>
      <c r="L16" s="59">
        <v>1.04</v>
      </c>
      <c r="M16" s="71">
        <v>1</v>
      </c>
    </row>
    <row r="17" spans="2:13" x14ac:dyDescent="0.25">
      <c r="B17" s="42"/>
      <c r="C17" s="43"/>
      <c r="D17" s="44"/>
      <c r="E17" s="48">
        <f t="shared" si="1"/>
        <v>1.4</v>
      </c>
      <c r="F17" s="46">
        <v>1.425</v>
      </c>
      <c r="G17" s="66">
        <v>497.8</v>
      </c>
      <c r="H17" s="47">
        <f t="shared" si="0"/>
        <v>10.746281544804958</v>
      </c>
      <c r="I17" s="59">
        <v>19.510000000000002</v>
      </c>
      <c r="J17" s="59">
        <v>1.08</v>
      </c>
      <c r="K17" s="59">
        <v>22.06</v>
      </c>
      <c r="L17" s="59">
        <v>2.2599999999999998</v>
      </c>
      <c r="M17" s="71">
        <v>1</v>
      </c>
    </row>
    <row r="18" spans="2:13" x14ac:dyDescent="0.25">
      <c r="B18" s="42"/>
      <c r="C18" s="43"/>
      <c r="D18" s="44"/>
      <c r="E18" s="48">
        <f t="shared" si="1"/>
        <v>1.425</v>
      </c>
      <c r="F18" s="46">
        <v>1.45</v>
      </c>
      <c r="G18" s="66">
        <v>459.2</v>
      </c>
      <c r="H18" s="47">
        <f t="shared" si="0"/>
        <v>9.9130021803423798</v>
      </c>
      <c r="I18" s="59">
        <v>21.04</v>
      </c>
      <c r="J18" s="59">
        <v>0.89</v>
      </c>
      <c r="K18" s="59">
        <v>20.92</v>
      </c>
      <c r="L18" s="59">
        <v>1.01</v>
      </c>
      <c r="M18" s="71">
        <v>1</v>
      </c>
    </row>
    <row r="19" spans="2:13" x14ac:dyDescent="0.25">
      <c r="B19" s="42"/>
      <c r="C19" s="43"/>
      <c r="D19" s="44"/>
      <c r="E19" s="48">
        <f t="shared" si="1"/>
        <v>1.45</v>
      </c>
      <c r="F19" s="46">
        <v>1.5</v>
      </c>
      <c r="G19" s="66">
        <v>225.1</v>
      </c>
      <c r="H19" s="47">
        <f t="shared" si="0"/>
        <v>4.8593571228115628</v>
      </c>
      <c r="I19" s="59">
        <v>26.1</v>
      </c>
      <c r="J19" s="59">
        <v>0.93</v>
      </c>
      <c r="K19" s="59">
        <v>20.45</v>
      </c>
      <c r="L19" s="59">
        <v>1.9</v>
      </c>
      <c r="M19" s="71">
        <v>1</v>
      </c>
    </row>
    <row r="20" spans="2:13" x14ac:dyDescent="0.25">
      <c r="B20" s="42"/>
      <c r="C20" s="43"/>
      <c r="D20" s="44"/>
      <c r="E20" s="48">
        <f t="shared" si="1"/>
        <v>1.5</v>
      </c>
      <c r="F20" s="46">
        <v>1.6</v>
      </c>
      <c r="G20" s="66">
        <v>114.9</v>
      </c>
      <c r="H20" s="47">
        <f t="shared" si="0"/>
        <v>2.4804092999158089</v>
      </c>
      <c r="I20" s="59">
        <v>30.85</v>
      </c>
      <c r="J20" s="59">
        <v>1.24</v>
      </c>
      <c r="K20" s="59">
        <v>20.16</v>
      </c>
      <c r="L20" s="59">
        <v>3</v>
      </c>
      <c r="M20" s="71">
        <v>0.5</v>
      </c>
    </row>
    <row r="21" spans="2:13" x14ac:dyDescent="0.25">
      <c r="B21" s="42"/>
      <c r="C21" s="43"/>
      <c r="D21" s="44"/>
      <c r="E21" s="48">
        <f t="shared" si="1"/>
        <v>1.6</v>
      </c>
      <c r="F21" s="46">
        <v>1.7</v>
      </c>
      <c r="G21" s="66">
        <v>58.4</v>
      </c>
      <c r="H21" s="47">
        <f t="shared" si="0"/>
        <v>1.2607128208449367</v>
      </c>
      <c r="I21" s="59">
        <v>38.08</v>
      </c>
      <c r="J21" s="59">
        <v>0.94</v>
      </c>
      <c r="K21" s="59">
        <v>16.239999999999998</v>
      </c>
      <c r="L21" s="59">
        <v>1.54</v>
      </c>
      <c r="M21" s="71">
        <v>0.5</v>
      </c>
    </row>
    <row r="22" spans="2:13" x14ac:dyDescent="0.25">
      <c r="B22" s="42"/>
      <c r="C22" s="43"/>
      <c r="D22" s="44"/>
      <c r="E22" s="48">
        <f t="shared" si="1"/>
        <v>1.7</v>
      </c>
      <c r="F22" s="46">
        <v>1.8</v>
      </c>
      <c r="G22" s="66">
        <v>0</v>
      </c>
      <c r="H22" s="47">
        <f t="shared" si="0"/>
        <v>0</v>
      </c>
      <c r="I22" s="59" t="s">
        <v>9</v>
      </c>
      <c r="J22" s="59" t="s">
        <v>9</v>
      </c>
      <c r="K22" s="59" t="s">
        <v>9</v>
      </c>
      <c r="L22" s="59" t="s">
        <v>9</v>
      </c>
      <c r="M22" s="59" t="s">
        <v>9</v>
      </c>
    </row>
    <row r="23" spans="2:13" x14ac:dyDescent="0.25">
      <c r="B23" s="42"/>
      <c r="C23" s="43"/>
      <c r="D23" s="44"/>
      <c r="E23" s="48">
        <f t="shared" si="1"/>
        <v>1.8</v>
      </c>
      <c r="F23" s="46">
        <v>2</v>
      </c>
      <c r="G23" s="66">
        <v>0</v>
      </c>
      <c r="H23" s="47">
        <f t="shared" si="0"/>
        <v>0</v>
      </c>
      <c r="I23" s="59" t="s">
        <v>9</v>
      </c>
      <c r="J23" s="59" t="s">
        <v>9</v>
      </c>
      <c r="K23" s="59" t="s">
        <v>9</v>
      </c>
      <c r="L23" s="59" t="s">
        <v>9</v>
      </c>
      <c r="M23" s="59" t="s">
        <v>9</v>
      </c>
    </row>
    <row r="24" spans="2:13" x14ac:dyDescent="0.25">
      <c r="B24" s="42"/>
      <c r="C24" s="43"/>
      <c r="D24" s="44"/>
      <c r="E24" s="48">
        <f t="shared" si="1"/>
        <v>2</v>
      </c>
      <c r="F24" s="46">
        <v>2.2000000000000002</v>
      </c>
      <c r="G24" s="66">
        <v>46.8</v>
      </c>
      <c r="H24" s="47">
        <f t="shared" si="0"/>
        <v>1.0102972605401206</v>
      </c>
      <c r="I24" s="59">
        <v>51.84</v>
      </c>
      <c r="J24" s="59">
        <v>1.06</v>
      </c>
      <c r="K24" s="59">
        <v>20.87</v>
      </c>
      <c r="L24" s="59">
        <v>10.53</v>
      </c>
      <c r="M24" s="71">
        <v>0</v>
      </c>
    </row>
    <row r="25" spans="2:13" x14ac:dyDescent="0.25">
      <c r="B25" s="42"/>
      <c r="C25" s="43"/>
      <c r="D25" s="44"/>
      <c r="E25" s="48">
        <f>F24</f>
        <v>2.2000000000000002</v>
      </c>
      <c r="F25" s="46">
        <v>2.8</v>
      </c>
      <c r="G25" s="66">
        <v>184.5</v>
      </c>
      <c r="H25" s="47">
        <f t="shared" si="0"/>
        <v>3.9829026617447063</v>
      </c>
      <c r="I25" s="59">
        <v>65.02</v>
      </c>
      <c r="J25" s="59">
        <v>0.97</v>
      </c>
      <c r="K25" s="59">
        <v>27.1</v>
      </c>
      <c r="L25" s="59">
        <v>14.4</v>
      </c>
      <c r="M25" s="71">
        <v>0</v>
      </c>
    </row>
    <row r="26" spans="2:13" x14ac:dyDescent="0.25">
      <c r="B26" s="76" t="s">
        <v>72</v>
      </c>
      <c r="C26" s="77"/>
      <c r="D26" s="77"/>
      <c r="E26" s="49"/>
      <c r="F26" s="50"/>
      <c r="G26" s="51">
        <f>SUM(G12:G25)</f>
        <v>4632.2999999999993</v>
      </c>
      <c r="H26" s="52">
        <f>SUM(H12:H25)</f>
        <v>100</v>
      </c>
      <c r="I26" s="53">
        <f>SUMPRODUCT($H$12:$H$25,I12:I25)/$H$26</f>
        <v>18.07622369017551</v>
      </c>
      <c r="J26" s="53">
        <f>SUMPRODUCT($H$12:$H$25,J12:J25)/$H$26</f>
        <v>1.0157537292489693</v>
      </c>
      <c r="K26" s="53">
        <f>SUMPRODUCT($H$12:$H$25,K12:K25)/$H$26</f>
        <v>23.144163590441039</v>
      </c>
      <c r="L26" s="53">
        <f>SUMPRODUCT($H$12:$H$25,L12:L25)/$H$26</f>
        <v>1.7792627852254825</v>
      </c>
      <c r="M26" s="60">
        <f>SUMPRODUCT($H$12:$H$25,M12:M25)/$H$26</f>
        <v>1.8137642207974445</v>
      </c>
    </row>
    <row r="27" spans="2:13" x14ac:dyDescent="0.25">
      <c r="B27" s="38" t="s">
        <v>73</v>
      </c>
      <c r="C27" s="39" t="s">
        <v>74</v>
      </c>
      <c r="D27" s="40"/>
      <c r="E27" s="41"/>
      <c r="F27" s="41"/>
      <c r="G27" s="68">
        <v>5000</v>
      </c>
      <c r="H27" s="41"/>
      <c r="I27" s="41"/>
      <c r="J27" s="41"/>
      <c r="K27" s="41"/>
      <c r="L27" s="41"/>
      <c r="M27" s="41"/>
    </row>
    <row r="28" spans="2:13" x14ac:dyDescent="0.25">
      <c r="B28" s="42"/>
      <c r="C28" s="43"/>
      <c r="D28" s="44"/>
      <c r="E28" s="45">
        <v>1.25</v>
      </c>
      <c r="F28" s="46">
        <v>1.3</v>
      </c>
      <c r="G28" s="66">
        <v>1551.4</v>
      </c>
      <c r="H28" s="47">
        <f>G28/$G$42*100</f>
        <v>32.407252673796791</v>
      </c>
      <c r="I28" s="59">
        <v>9.41</v>
      </c>
      <c r="J28" s="59">
        <v>0.91</v>
      </c>
      <c r="K28" s="59">
        <v>25.68</v>
      </c>
      <c r="L28" s="59">
        <v>0.56000000000000005</v>
      </c>
      <c r="M28" s="71">
        <v>6</v>
      </c>
    </row>
    <row r="29" spans="2:13" x14ac:dyDescent="0.25">
      <c r="B29" s="42"/>
      <c r="C29" s="43"/>
      <c r="D29" s="44"/>
      <c r="E29" s="48">
        <f>F28</f>
        <v>1.3</v>
      </c>
      <c r="F29" s="46">
        <v>1.325</v>
      </c>
      <c r="G29" s="66">
        <v>450.5</v>
      </c>
      <c r="H29" s="47">
        <f t="shared" ref="H29:H41" si="2">G29/$G$42*100</f>
        <v>9.4105113636363615</v>
      </c>
      <c r="I29" s="59">
        <v>12.64</v>
      </c>
      <c r="J29" s="59">
        <v>1.03</v>
      </c>
      <c r="K29" s="59">
        <v>24.92</v>
      </c>
      <c r="L29" s="59">
        <v>0.6</v>
      </c>
      <c r="M29" s="71">
        <v>5.5</v>
      </c>
    </row>
    <row r="30" spans="2:13" x14ac:dyDescent="0.25">
      <c r="B30" s="42"/>
      <c r="C30" s="43"/>
      <c r="D30" s="44"/>
      <c r="E30" s="48">
        <f t="shared" ref="E30:E41" si="3">F29</f>
        <v>1.325</v>
      </c>
      <c r="F30" s="46">
        <v>1.35</v>
      </c>
      <c r="G30" s="66">
        <v>339.1</v>
      </c>
      <c r="H30" s="47">
        <f t="shared" si="2"/>
        <v>7.0834725935828873</v>
      </c>
      <c r="I30" s="59">
        <v>14.58</v>
      </c>
      <c r="J30" s="59">
        <v>0.91</v>
      </c>
      <c r="K30" s="59">
        <v>23.48</v>
      </c>
      <c r="L30" s="59">
        <v>0.69</v>
      </c>
      <c r="M30" s="71">
        <v>3.5</v>
      </c>
    </row>
    <row r="31" spans="2:13" x14ac:dyDescent="0.25">
      <c r="B31" s="42"/>
      <c r="C31" s="43"/>
      <c r="D31" s="44"/>
      <c r="E31" s="48">
        <f t="shared" si="3"/>
        <v>1.35</v>
      </c>
      <c r="F31" s="46">
        <v>1.375</v>
      </c>
      <c r="G31" s="66">
        <v>456</v>
      </c>
      <c r="H31" s="47">
        <f t="shared" si="2"/>
        <v>9.5254010695187166</v>
      </c>
      <c r="I31" s="59">
        <v>16</v>
      </c>
      <c r="J31" s="59">
        <v>0.95</v>
      </c>
      <c r="K31" s="59">
        <v>23.51</v>
      </c>
      <c r="L31" s="59">
        <v>0.65</v>
      </c>
      <c r="M31" s="71">
        <v>3</v>
      </c>
    </row>
    <row r="32" spans="2:13" x14ac:dyDescent="0.25">
      <c r="B32" s="42"/>
      <c r="C32" s="43"/>
      <c r="D32" s="44"/>
      <c r="E32" s="48">
        <f t="shared" si="3"/>
        <v>1.375</v>
      </c>
      <c r="F32" s="46">
        <v>1.4</v>
      </c>
      <c r="G32" s="66">
        <v>315</v>
      </c>
      <c r="H32" s="47">
        <f t="shared" si="2"/>
        <v>6.5800467914438503</v>
      </c>
      <c r="I32" s="59">
        <v>17.75</v>
      </c>
      <c r="J32" s="59">
        <v>0.86</v>
      </c>
      <c r="K32" s="59">
        <v>22.63</v>
      </c>
      <c r="L32" s="59">
        <v>0.78</v>
      </c>
      <c r="M32" s="71">
        <v>1</v>
      </c>
    </row>
    <row r="33" spans="2:13" x14ac:dyDescent="0.25">
      <c r="B33" s="42"/>
      <c r="C33" s="43"/>
      <c r="D33" s="44"/>
      <c r="E33" s="48">
        <f t="shared" si="3"/>
        <v>1.4</v>
      </c>
      <c r="F33" s="46">
        <v>1.425</v>
      </c>
      <c r="G33" s="66">
        <v>428.6</v>
      </c>
      <c r="H33" s="47">
        <f t="shared" si="2"/>
        <v>8.9530414438502675</v>
      </c>
      <c r="I33" s="59">
        <v>21.49</v>
      </c>
      <c r="J33" s="59">
        <v>0.88</v>
      </c>
      <c r="K33" s="59">
        <v>22.14</v>
      </c>
      <c r="L33" s="59">
        <v>0.89</v>
      </c>
      <c r="M33" s="71">
        <v>1</v>
      </c>
    </row>
    <row r="34" spans="2:13" x14ac:dyDescent="0.25">
      <c r="B34" s="42"/>
      <c r="C34" s="43"/>
      <c r="D34" s="44"/>
      <c r="E34" s="48">
        <f t="shared" si="3"/>
        <v>1.425</v>
      </c>
      <c r="F34" s="46">
        <v>1.45</v>
      </c>
      <c r="G34" s="66">
        <v>371.3</v>
      </c>
      <c r="H34" s="47">
        <f t="shared" si="2"/>
        <v>7.7560995989304802</v>
      </c>
      <c r="I34" s="59">
        <v>23.09</v>
      </c>
      <c r="J34" s="59">
        <v>0.85</v>
      </c>
      <c r="K34" s="59">
        <v>21.89</v>
      </c>
      <c r="L34" s="59">
        <v>0.85</v>
      </c>
      <c r="M34" s="71">
        <v>0.5</v>
      </c>
    </row>
    <row r="35" spans="2:13" x14ac:dyDescent="0.25">
      <c r="B35" s="42"/>
      <c r="C35" s="43"/>
      <c r="D35" s="44"/>
      <c r="E35" s="48">
        <f t="shared" si="3"/>
        <v>1.45</v>
      </c>
      <c r="F35" s="46">
        <v>1.5</v>
      </c>
      <c r="G35" s="66">
        <v>331.1</v>
      </c>
      <c r="H35" s="47">
        <f t="shared" si="2"/>
        <v>6.9163602941176459</v>
      </c>
      <c r="I35" s="59">
        <v>26.32</v>
      </c>
      <c r="J35" s="59">
        <v>0.85</v>
      </c>
      <c r="K35" s="59">
        <v>21.29</v>
      </c>
      <c r="L35" s="59">
        <v>0.97</v>
      </c>
      <c r="M35" s="71">
        <v>0.5</v>
      </c>
    </row>
    <row r="36" spans="2:13" x14ac:dyDescent="0.25">
      <c r="B36" s="42"/>
      <c r="C36" s="43"/>
      <c r="D36" s="44"/>
      <c r="E36" s="48">
        <f t="shared" si="3"/>
        <v>1.5</v>
      </c>
      <c r="F36" s="46">
        <v>1.6</v>
      </c>
      <c r="G36" s="66">
        <v>228</v>
      </c>
      <c r="H36" s="47">
        <f t="shared" si="2"/>
        <v>4.7627005347593583</v>
      </c>
      <c r="I36" s="59">
        <v>33.049999999999997</v>
      </c>
      <c r="J36" s="59">
        <v>1.02</v>
      </c>
      <c r="K36" s="59">
        <v>20.56</v>
      </c>
      <c r="L36" s="59">
        <v>0.82</v>
      </c>
      <c r="M36" s="71">
        <v>0.5</v>
      </c>
    </row>
    <row r="37" spans="2:13" x14ac:dyDescent="0.25">
      <c r="B37" s="42"/>
      <c r="C37" s="43"/>
      <c r="D37" s="44"/>
      <c r="E37" s="48">
        <f t="shared" si="3"/>
        <v>1.6</v>
      </c>
      <c r="F37" s="46">
        <v>1.7</v>
      </c>
      <c r="G37" s="66">
        <v>91</v>
      </c>
      <c r="H37" s="47">
        <f t="shared" si="2"/>
        <v>1.9009024064171118</v>
      </c>
      <c r="I37" s="59">
        <v>38.83</v>
      </c>
      <c r="J37" s="59">
        <v>1.1200000000000001</v>
      </c>
      <c r="K37" s="59">
        <v>19.45</v>
      </c>
      <c r="L37" s="59">
        <v>1.43</v>
      </c>
      <c r="M37" s="71">
        <v>0</v>
      </c>
    </row>
    <row r="38" spans="2:13" x14ac:dyDescent="0.25">
      <c r="B38" s="42"/>
      <c r="C38" s="43"/>
      <c r="D38" s="44"/>
      <c r="E38" s="48">
        <f t="shared" si="3"/>
        <v>1.7</v>
      </c>
      <c r="F38" s="46">
        <v>1.8</v>
      </c>
      <c r="G38" s="66">
        <v>39.700000000000003</v>
      </c>
      <c r="H38" s="47">
        <f t="shared" si="2"/>
        <v>0.82929478609625673</v>
      </c>
      <c r="I38" s="59">
        <v>49.89</v>
      </c>
      <c r="J38" s="59">
        <v>1.23</v>
      </c>
      <c r="K38" s="59">
        <v>17.059999999999999</v>
      </c>
      <c r="L38" s="59">
        <v>1.58</v>
      </c>
      <c r="M38" s="71">
        <v>0</v>
      </c>
    </row>
    <row r="39" spans="2:13" x14ac:dyDescent="0.25">
      <c r="B39" s="42"/>
      <c r="C39" s="43"/>
      <c r="D39" s="44"/>
      <c r="E39" s="48">
        <f t="shared" si="3"/>
        <v>1.8</v>
      </c>
      <c r="F39" s="46">
        <v>2</v>
      </c>
      <c r="G39" s="66">
        <v>65.599999999999994</v>
      </c>
      <c r="H39" s="47">
        <f t="shared" si="2"/>
        <v>1.3703208556149731</v>
      </c>
      <c r="I39" s="59">
        <v>54</v>
      </c>
      <c r="J39" s="59">
        <v>0.87</v>
      </c>
      <c r="K39" s="59">
        <v>20.88</v>
      </c>
      <c r="L39" s="59">
        <v>2.62</v>
      </c>
      <c r="M39" s="71">
        <v>0</v>
      </c>
    </row>
    <row r="40" spans="2:13" x14ac:dyDescent="0.25">
      <c r="B40" s="42"/>
      <c r="C40" s="43"/>
      <c r="D40" s="44"/>
      <c r="E40" s="48">
        <f t="shared" si="3"/>
        <v>2</v>
      </c>
      <c r="F40" s="46">
        <v>2.2000000000000002</v>
      </c>
      <c r="G40" s="66">
        <v>39.799999999999997</v>
      </c>
      <c r="H40" s="47">
        <f t="shared" si="2"/>
        <v>0.831383689839572</v>
      </c>
      <c r="I40" s="59">
        <v>54.53</v>
      </c>
      <c r="J40" s="59">
        <v>0.71</v>
      </c>
      <c r="K40" s="59">
        <v>24.6</v>
      </c>
      <c r="L40" s="59">
        <v>5.75</v>
      </c>
      <c r="M40" s="71">
        <v>0</v>
      </c>
    </row>
    <row r="41" spans="2:13" x14ac:dyDescent="0.25">
      <c r="B41" s="42"/>
      <c r="C41" s="43"/>
      <c r="D41" s="44"/>
      <c r="E41" s="48">
        <f t="shared" si="3"/>
        <v>2.2000000000000002</v>
      </c>
      <c r="F41" s="46">
        <v>2.8</v>
      </c>
      <c r="G41" s="66">
        <v>80.099999999999994</v>
      </c>
      <c r="H41" s="47">
        <f t="shared" si="2"/>
        <v>1.6732118983957216</v>
      </c>
      <c r="I41" s="59">
        <v>71.489999999999995</v>
      </c>
      <c r="J41" s="59">
        <v>0.9</v>
      </c>
      <c r="K41" s="59">
        <v>21.44</v>
      </c>
      <c r="L41" s="59">
        <v>9.57</v>
      </c>
      <c r="M41" s="71">
        <v>0</v>
      </c>
    </row>
    <row r="42" spans="2:13" x14ac:dyDescent="0.25">
      <c r="B42" s="76" t="s">
        <v>72</v>
      </c>
      <c r="C42" s="77"/>
      <c r="D42" s="77"/>
      <c r="E42" s="49"/>
      <c r="F42" s="50"/>
      <c r="G42" s="51">
        <f>SUM(G28:G41)</f>
        <v>4787.2000000000007</v>
      </c>
      <c r="H42" s="52">
        <f>SUM(H28:H41)</f>
        <v>100</v>
      </c>
      <c r="I42" s="69">
        <f>SUMPRODUCT($H$28:$H$41,I28:I41)/$H$42</f>
        <v>18.61451600100267</v>
      </c>
      <c r="J42" s="69">
        <f>SUMPRODUCT($H$28:$H$41,J28:J41)/$H$42</f>
        <v>0.91982975434491965</v>
      </c>
      <c r="K42" s="69">
        <f>SUMPRODUCT($H$28:$H$41,K28:K41)/$H$42</f>
        <v>23.551268800133688</v>
      </c>
      <c r="L42" s="69">
        <f>SUMPRODUCT($H$28:$H$41,L28:L41)/$H$42</f>
        <v>0.93592997994652383</v>
      </c>
      <c r="M42" s="70">
        <f>SUMPRODUCT($H$28:$H$41,M28:M41)/$H$42</f>
        <v>3.248203542780749</v>
      </c>
    </row>
    <row r="43" spans="2:13" x14ac:dyDescent="0.25">
      <c r="B43" s="38" t="s">
        <v>75</v>
      </c>
      <c r="C43" s="39" t="s">
        <v>76</v>
      </c>
      <c r="D43" s="40"/>
      <c r="E43" s="41"/>
      <c r="F43" s="41"/>
      <c r="G43" s="68">
        <v>5000</v>
      </c>
      <c r="H43" s="41"/>
      <c r="I43" s="41"/>
      <c r="J43" s="41"/>
      <c r="K43" s="41"/>
      <c r="L43" s="41"/>
      <c r="M43" s="41"/>
    </row>
    <row r="44" spans="2:13" x14ac:dyDescent="0.25">
      <c r="B44" s="42"/>
      <c r="C44" s="43"/>
      <c r="D44" s="44"/>
      <c r="E44" s="45">
        <v>1.25</v>
      </c>
      <c r="F44" s="46">
        <v>1.3</v>
      </c>
      <c r="G44" s="66">
        <v>1618.2</v>
      </c>
      <c r="H44" s="47">
        <f>G44/$G$58*100</f>
        <v>35.294887454196477</v>
      </c>
      <c r="I44" s="59">
        <v>5.69</v>
      </c>
      <c r="J44" s="59">
        <v>0.81</v>
      </c>
      <c r="K44" s="59">
        <v>28.46</v>
      </c>
      <c r="L44" s="59">
        <v>0.56999999999999995</v>
      </c>
      <c r="M44" s="71">
        <v>7.5</v>
      </c>
    </row>
    <row r="45" spans="2:13" x14ac:dyDescent="0.25">
      <c r="B45" s="42"/>
      <c r="C45" s="43"/>
      <c r="D45" s="44"/>
      <c r="E45" s="48">
        <f>F44</f>
        <v>1.3</v>
      </c>
      <c r="F45" s="46">
        <v>1.325</v>
      </c>
      <c r="G45" s="66">
        <v>532</v>
      </c>
      <c r="H45" s="47">
        <f t="shared" ref="H45:H57" si="4">G45/$G$58*100</f>
        <v>11.603559588204501</v>
      </c>
      <c r="I45" s="59">
        <v>9.4600000000000009</v>
      </c>
      <c r="J45" s="59">
        <v>0.83</v>
      </c>
      <c r="K45" s="59">
        <v>26.45</v>
      </c>
      <c r="L45" s="59">
        <v>0.55000000000000004</v>
      </c>
      <c r="M45" s="71">
        <v>7</v>
      </c>
    </row>
    <row r="46" spans="2:13" x14ac:dyDescent="0.25">
      <c r="B46" s="42"/>
      <c r="C46" s="43"/>
      <c r="D46" s="44"/>
      <c r="E46" s="48">
        <f t="shared" ref="E46:E57" si="5">F45</f>
        <v>1.325</v>
      </c>
      <c r="F46" s="46">
        <v>1.35</v>
      </c>
      <c r="G46" s="66">
        <v>408.8</v>
      </c>
      <c r="H46" s="47">
        <f t="shared" si="4"/>
        <v>8.9164194730413531</v>
      </c>
      <c r="I46" s="59">
        <v>11.47</v>
      </c>
      <c r="J46" s="59">
        <v>0.72</v>
      </c>
      <c r="K46" s="59">
        <v>25.35</v>
      </c>
      <c r="L46" s="59">
        <v>0.51</v>
      </c>
      <c r="M46" s="71">
        <v>6</v>
      </c>
    </row>
    <row r="47" spans="2:13" x14ac:dyDescent="0.25">
      <c r="B47" s="42"/>
      <c r="C47" s="43"/>
      <c r="D47" s="44"/>
      <c r="E47" s="48">
        <f t="shared" si="5"/>
        <v>1.35</v>
      </c>
      <c r="F47" s="46">
        <v>1.375</v>
      </c>
      <c r="G47" s="66">
        <v>492.3</v>
      </c>
      <c r="H47" s="47">
        <f t="shared" si="4"/>
        <v>10.737654859535857</v>
      </c>
      <c r="I47" s="59">
        <v>13.11</v>
      </c>
      <c r="J47" s="59">
        <v>0.76</v>
      </c>
      <c r="K47" s="59">
        <v>23.94</v>
      </c>
      <c r="L47" s="59">
        <v>0.53</v>
      </c>
      <c r="M47" s="71">
        <v>4.5</v>
      </c>
    </row>
    <row r="48" spans="2:13" x14ac:dyDescent="0.25">
      <c r="B48" s="42"/>
      <c r="C48" s="43"/>
      <c r="D48" s="44"/>
      <c r="E48" s="48">
        <f t="shared" si="5"/>
        <v>1.375</v>
      </c>
      <c r="F48" s="46">
        <v>1.4</v>
      </c>
      <c r="G48" s="66">
        <v>330.8</v>
      </c>
      <c r="H48" s="47">
        <f t="shared" si="4"/>
        <v>7.2151456988309199</v>
      </c>
      <c r="I48" s="59">
        <v>16.16</v>
      </c>
      <c r="J48" s="59">
        <v>0.73</v>
      </c>
      <c r="K48" s="59">
        <v>22.87</v>
      </c>
      <c r="L48" s="59">
        <v>0.61</v>
      </c>
      <c r="M48" s="71">
        <v>2.5</v>
      </c>
    </row>
    <row r="49" spans="2:13" x14ac:dyDescent="0.25">
      <c r="B49" s="42"/>
      <c r="C49" s="43"/>
      <c r="D49" s="44"/>
      <c r="E49" s="48">
        <f t="shared" si="5"/>
        <v>1.4</v>
      </c>
      <c r="F49" s="46">
        <v>1.425</v>
      </c>
      <c r="G49" s="66">
        <v>228.8</v>
      </c>
      <c r="H49" s="47">
        <f t="shared" si="4"/>
        <v>4.9904030710172744</v>
      </c>
      <c r="I49" s="59">
        <v>19.07</v>
      </c>
      <c r="J49" s="59">
        <v>0.74</v>
      </c>
      <c r="K49" s="59">
        <v>22.01</v>
      </c>
      <c r="L49" s="59">
        <v>0.68</v>
      </c>
      <c r="M49" s="71">
        <v>1.5</v>
      </c>
    </row>
    <row r="50" spans="2:13" x14ac:dyDescent="0.25">
      <c r="B50" s="42"/>
      <c r="C50" s="43"/>
      <c r="D50" s="44"/>
      <c r="E50" s="48">
        <f t="shared" si="5"/>
        <v>1.425</v>
      </c>
      <c r="F50" s="46">
        <v>1.45</v>
      </c>
      <c r="G50" s="66">
        <v>186.7</v>
      </c>
      <c r="H50" s="47">
        <f t="shared" si="4"/>
        <v>4.0721514569883084</v>
      </c>
      <c r="I50" s="59">
        <v>21.26</v>
      </c>
      <c r="J50" s="59">
        <v>0.81</v>
      </c>
      <c r="K50" s="59">
        <v>21.66</v>
      </c>
      <c r="L50" s="59">
        <v>0.71</v>
      </c>
      <c r="M50" s="71">
        <v>1</v>
      </c>
    </row>
    <row r="51" spans="2:13" x14ac:dyDescent="0.25">
      <c r="B51" s="42"/>
      <c r="C51" s="43"/>
      <c r="D51" s="44"/>
      <c r="E51" s="48">
        <f t="shared" si="5"/>
        <v>1.45</v>
      </c>
      <c r="F51" s="46">
        <v>1.5</v>
      </c>
      <c r="G51" s="66">
        <v>221.1</v>
      </c>
      <c r="H51" s="47">
        <f t="shared" si="4"/>
        <v>4.8224568138195778</v>
      </c>
      <c r="I51" s="59">
        <v>25.91</v>
      </c>
      <c r="J51" s="59">
        <v>0.86</v>
      </c>
      <c r="K51" s="59">
        <v>21.19</v>
      </c>
      <c r="L51" s="59">
        <v>0.7</v>
      </c>
      <c r="M51" s="71">
        <v>1</v>
      </c>
    </row>
    <row r="52" spans="2:13" x14ac:dyDescent="0.25">
      <c r="B52" s="42"/>
      <c r="C52" s="43"/>
      <c r="D52" s="44"/>
      <c r="E52" s="48">
        <f t="shared" si="5"/>
        <v>1.5</v>
      </c>
      <c r="F52" s="46">
        <v>1.6</v>
      </c>
      <c r="G52" s="66">
        <v>170.3</v>
      </c>
      <c r="H52" s="47">
        <f t="shared" si="4"/>
        <v>3.7144477403594487</v>
      </c>
      <c r="I52" s="59">
        <v>32.57</v>
      </c>
      <c r="J52" s="59">
        <v>0.77</v>
      </c>
      <c r="K52" s="59">
        <v>20.7</v>
      </c>
      <c r="L52" s="59">
        <v>0.8</v>
      </c>
      <c r="M52" s="71">
        <v>0.5</v>
      </c>
    </row>
    <row r="53" spans="2:13" x14ac:dyDescent="0.25">
      <c r="B53" s="42"/>
      <c r="C53" s="43"/>
      <c r="D53" s="44"/>
      <c r="E53" s="48">
        <f t="shared" si="5"/>
        <v>1.6</v>
      </c>
      <c r="F53" s="46">
        <v>1.7</v>
      </c>
      <c r="G53" s="66">
        <v>75.5</v>
      </c>
      <c r="H53" s="47">
        <f t="shared" si="4"/>
        <v>1.6467457686267666</v>
      </c>
      <c r="I53" s="59">
        <v>40.19</v>
      </c>
      <c r="J53" s="59">
        <v>1.28</v>
      </c>
      <c r="K53" s="59">
        <v>19.63</v>
      </c>
      <c r="L53" s="59">
        <v>0.97</v>
      </c>
      <c r="M53" s="71">
        <v>0.5</v>
      </c>
    </row>
    <row r="54" spans="2:13" x14ac:dyDescent="0.25">
      <c r="B54" s="42"/>
      <c r="C54" s="43"/>
      <c r="D54" s="44"/>
      <c r="E54" s="48">
        <f t="shared" si="5"/>
        <v>1.7</v>
      </c>
      <c r="F54" s="46">
        <v>1.8</v>
      </c>
      <c r="G54" s="66">
        <v>58.5</v>
      </c>
      <c r="H54" s="47">
        <f t="shared" si="4"/>
        <v>1.2759553306578257</v>
      </c>
      <c r="I54" s="59">
        <v>45.91</v>
      </c>
      <c r="J54" s="59">
        <v>1</v>
      </c>
      <c r="K54" s="59">
        <v>18.97</v>
      </c>
      <c r="L54" s="59">
        <v>1.21</v>
      </c>
      <c r="M54" s="71">
        <v>0</v>
      </c>
    </row>
    <row r="55" spans="2:13" x14ac:dyDescent="0.25">
      <c r="B55" s="42"/>
      <c r="C55" s="43"/>
      <c r="D55" s="44"/>
      <c r="E55" s="48">
        <f t="shared" si="5"/>
        <v>1.8</v>
      </c>
      <c r="F55" s="46">
        <v>2</v>
      </c>
      <c r="G55" s="66">
        <v>62.4</v>
      </c>
      <c r="H55" s="47">
        <f t="shared" si="4"/>
        <v>1.3610190193683476</v>
      </c>
      <c r="I55" s="59">
        <v>54.2</v>
      </c>
      <c r="J55" s="59">
        <v>1.1599999999999999</v>
      </c>
      <c r="K55" s="59">
        <v>18.309999999999999</v>
      </c>
      <c r="L55" s="59">
        <v>1.67</v>
      </c>
      <c r="M55" s="71">
        <v>0</v>
      </c>
    </row>
    <row r="56" spans="2:13" x14ac:dyDescent="0.25">
      <c r="B56" s="42"/>
      <c r="C56" s="43"/>
      <c r="D56" s="44"/>
      <c r="E56" s="48">
        <f t="shared" si="5"/>
        <v>2</v>
      </c>
      <c r="F56" s="46">
        <v>2.2000000000000002</v>
      </c>
      <c r="G56" s="66">
        <v>50.8</v>
      </c>
      <c r="H56" s="47">
        <f t="shared" si="4"/>
        <v>1.1080090734601291</v>
      </c>
      <c r="I56" s="59">
        <v>63.64</v>
      </c>
      <c r="J56" s="59">
        <v>1.61</v>
      </c>
      <c r="K56" s="59">
        <v>19.059999999999999</v>
      </c>
      <c r="L56" s="59">
        <v>2.69</v>
      </c>
      <c r="M56" s="71">
        <v>0</v>
      </c>
    </row>
    <row r="57" spans="2:13" x14ac:dyDescent="0.25">
      <c r="B57" s="42"/>
      <c r="C57" s="43"/>
      <c r="D57" s="44"/>
      <c r="E57" s="48">
        <f t="shared" si="5"/>
        <v>2.2000000000000002</v>
      </c>
      <c r="F57" s="46">
        <v>2.8</v>
      </c>
      <c r="G57" s="66">
        <v>148.6</v>
      </c>
      <c r="H57" s="47">
        <f t="shared" si="4"/>
        <v>3.2411446518932121</v>
      </c>
      <c r="I57" s="59">
        <v>76.44</v>
      </c>
      <c r="J57" s="59">
        <v>1.26</v>
      </c>
      <c r="K57" s="59">
        <v>16.920000000000002</v>
      </c>
      <c r="L57" s="59">
        <v>3.98</v>
      </c>
      <c r="M57" s="71">
        <v>0</v>
      </c>
    </row>
    <row r="58" spans="2:13" x14ac:dyDescent="0.25">
      <c r="B58" s="76" t="s">
        <v>72</v>
      </c>
      <c r="C58" s="77"/>
      <c r="D58" s="77"/>
      <c r="E58" s="49"/>
      <c r="F58" s="50"/>
      <c r="G58" s="51">
        <f>SUM(G44:G57)</f>
        <v>4584.8</v>
      </c>
      <c r="H58" s="52">
        <f>SUM(H44:H57)</f>
        <v>99.999999999999972</v>
      </c>
      <c r="I58" s="53">
        <f>SUMPRODUCT($H$44:$H$57,I44:I57)/$H$58</f>
        <v>16.147025170127382</v>
      </c>
      <c r="J58" s="53">
        <f t="shared" ref="J58:M58" si="6">SUMPRODUCT($H$44:$H$57,J44:J57)/$H$58</f>
        <v>0.82896396789391047</v>
      </c>
      <c r="K58" s="53">
        <f t="shared" si="6"/>
        <v>24.940357921828657</v>
      </c>
      <c r="L58" s="53">
        <f t="shared" si="6"/>
        <v>0.75066044320362957</v>
      </c>
      <c r="M58" s="60">
        <f t="shared" si="6"/>
        <v>4.8485321060896895</v>
      </c>
    </row>
    <row r="59" spans="2:13" x14ac:dyDescent="0.25">
      <c r="B59" s="38" t="s">
        <v>77</v>
      </c>
      <c r="C59" s="39" t="s">
        <v>78</v>
      </c>
      <c r="D59" s="40"/>
      <c r="E59" s="41"/>
      <c r="F59" s="41"/>
      <c r="G59" s="68">
        <v>3000</v>
      </c>
      <c r="H59" s="41"/>
      <c r="I59" s="41"/>
      <c r="J59" s="41"/>
      <c r="K59" s="41"/>
      <c r="L59" s="41"/>
      <c r="M59" s="41"/>
    </row>
    <row r="60" spans="2:13" x14ac:dyDescent="0.25">
      <c r="B60" s="42"/>
      <c r="C60" s="43"/>
      <c r="D60" s="44"/>
      <c r="E60" s="45">
        <v>1.25</v>
      </c>
      <c r="F60" s="46">
        <v>1.3</v>
      </c>
      <c r="G60" s="66">
        <v>1990.9</v>
      </c>
      <c r="H60" s="47">
        <f>G60/$G$74*100</f>
        <v>67.220620311033386</v>
      </c>
      <c r="I60" s="59">
        <v>5.67</v>
      </c>
      <c r="J60" s="59">
        <v>0.79</v>
      </c>
      <c r="K60" s="59">
        <v>28.37</v>
      </c>
      <c r="L60" s="59">
        <v>0.54</v>
      </c>
      <c r="M60" s="71">
        <v>8</v>
      </c>
    </row>
    <row r="61" spans="2:13" x14ac:dyDescent="0.25">
      <c r="B61" s="42"/>
      <c r="C61" s="43"/>
      <c r="D61" s="44"/>
      <c r="E61" s="48">
        <f>F60</f>
        <v>1.3</v>
      </c>
      <c r="F61" s="46">
        <v>1.325</v>
      </c>
      <c r="G61" s="66">
        <v>153.5</v>
      </c>
      <c r="H61" s="47">
        <f t="shared" ref="H61:H73" si="7">G61/$G$74*100</f>
        <v>5.1827641859177387</v>
      </c>
      <c r="I61" s="59">
        <v>12.45</v>
      </c>
      <c r="J61" s="59">
        <v>0.66</v>
      </c>
      <c r="K61" s="59">
        <v>24.1</v>
      </c>
      <c r="L61" s="59">
        <v>0.62</v>
      </c>
      <c r="M61" s="71">
        <v>4</v>
      </c>
    </row>
    <row r="62" spans="2:13" x14ac:dyDescent="0.25">
      <c r="B62" s="42"/>
      <c r="C62" s="43"/>
      <c r="D62" s="44"/>
      <c r="E62" s="48">
        <f t="shared" ref="E62:E73" si="8">F61</f>
        <v>1.325</v>
      </c>
      <c r="F62" s="46">
        <v>1.35</v>
      </c>
      <c r="G62" s="66">
        <v>102.4</v>
      </c>
      <c r="H62" s="47">
        <f t="shared" si="7"/>
        <v>3.4574270530161328</v>
      </c>
      <c r="I62" s="59">
        <v>15.4</v>
      </c>
      <c r="J62" s="59">
        <v>0.75</v>
      </c>
      <c r="K62" s="59">
        <v>22.79</v>
      </c>
      <c r="L62" s="59">
        <v>0.65</v>
      </c>
      <c r="M62" s="71">
        <v>2</v>
      </c>
    </row>
    <row r="63" spans="2:13" x14ac:dyDescent="0.25">
      <c r="B63" s="42"/>
      <c r="C63" s="43"/>
      <c r="D63" s="44"/>
      <c r="E63" s="48">
        <f t="shared" si="8"/>
        <v>1.35</v>
      </c>
      <c r="F63" s="46">
        <v>1.375</v>
      </c>
      <c r="G63" s="66">
        <v>57.6</v>
      </c>
      <c r="H63" s="47">
        <f t="shared" si="7"/>
        <v>1.9448027173215747</v>
      </c>
      <c r="I63" s="59">
        <v>16.02</v>
      </c>
      <c r="J63" s="59">
        <v>0.64</v>
      </c>
      <c r="K63" s="59">
        <v>23.44</v>
      </c>
      <c r="L63" s="59">
        <v>0.62</v>
      </c>
      <c r="M63" s="71">
        <v>1.5</v>
      </c>
    </row>
    <row r="64" spans="2:13" x14ac:dyDescent="0.25">
      <c r="B64" s="42"/>
      <c r="C64" s="43"/>
      <c r="D64" s="44"/>
      <c r="E64" s="48">
        <f t="shared" si="8"/>
        <v>1.375</v>
      </c>
      <c r="F64" s="46">
        <v>1.4</v>
      </c>
      <c r="G64" s="66">
        <v>100</v>
      </c>
      <c r="H64" s="47">
        <f t="shared" si="7"/>
        <v>3.3763936064610673</v>
      </c>
      <c r="I64" s="59">
        <v>19.760000000000002</v>
      </c>
      <c r="J64" s="59">
        <v>0.67</v>
      </c>
      <c r="K64" s="59">
        <v>22.55</v>
      </c>
      <c r="L64" s="59">
        <v>0.7</v>
      </c>
      <c r="M64" s="71">
        <v>1</v>
      </c>
    </row>
    <row r="65" spans="2:13" x14ac:dyDescent="0.25">
      <c r="B65" s="42"/>
      <c r="C65" s="43"/>
      <c r="D65" s="44"/>
      <c r="E65" s="48">
        <f t="shared" si="8"/>
        <v>1.4</v>
      </c>
      <c r="F65" s="46">
        <v>1.425</v>
      </c>
      <c r="G65" s="66">
        <v>42.2</v>
      </c>
      <c r="H65" s="47">
        <f t="shared" si="7"/>
        <v>1.4248381019265706</v>
      </c>
      <c r="I65" s="59">
        <v>22.93</v>
      </c>
      <c r="J65" s="59">
        <v>0.73</v>
      </c>
      <c r="K65" s="59">
        <v>22.24</v>
      </c>
      <c r="L65" s="59">
        <v>0.74</v>
      </c>
      <c r="M65" s="71">
        <v>1</v>
      </c>
    </row>
    <row r="66" spans="2:13" x14ac:dyDescent="0.25">
      <c r="B66" s="42"/>
      <c r="C66" s="43"/>
      <c r="D66" s="44"/>
      <c r="E66" s="48">
        <f t="shared" si="8"/>
        <v>1.425</v>
      </c>
      <c r="F66" s="46">
        <v>1.45</v>
      </c>
      <c r="G66" s="66">
        <v>71</v>
      </c>
      <c r="H66" s="47">
        <f t="shared" si="7"/>
        <v>2.3972394605873575</v>
      </c>
      <c r="I66" s="59">
        <v>26.65</v>
      </c>
      <c r="J66" s="59">
        <v>0.78</v>
      </c>
      <c r="K66" s="59">
        <v>20.81</v>
      </c>
      <c r="L66" s="59">
        <v>0.75</v>
      </c>
      <c r="M66" s="71">
        <v>0.5</v>
      </c>
    </row>
    <row r="67" spans="2:13" x14ac:dyDescent="0.25">
      <c r="B67" s="42"/>
      <c r="C67" s="43"/>
      <c r="D67" s="44"/>
      <c r="E67" s="48">
        <f t="shared" si="8"/>
        <v>1.45</v>
      </c>
      <c r="F67" s="46">
        <v>1.5</v>
      </c>
      <c r="G67" s="66">
        <v>27</v>
      </c>
      <c r="H67" s="47">
        <f t="shared" si="7"/>
        <v>0.91162627374448812</v>
      </c>
      <c r="I67" s="59">
        <v>29.11</v>
      </c>
      <c r="J67" s="59">
        <v>0.76</v>
      </c>
      <c r="K67" s="59">
        <v>20.71</v>
      </c>
      <c r="L67" s="59">
        <v>0.77</v>
      </c>
      <c r="M67" s="71">
        <v>0.5</v>
      </c>
    </row>
    <row r="68" spans="2:13" x14ac:dyDescent="0.25">
      <c r="B68" s="42"/>
      <c r="C68" s="43"/>
      <c r="D68" s="44"/>
      <c r="E68" s="48">
        <f t="shared" si="8"/>
        <v>1.5</v>
      </c>
      <c r="F68" s="46">
        <v>1.6</v>
      </c>
      <c r="G68" s="66">
        <v>68.900000000000006</v>
      </c>
      <c r="H68" s="47">
        <f t="shared" si="7"/>
        <v>2.3263351948516755</v>
      </c>
      <c r="I68" s="59">
        <v>36.880000000000003</v>
      </c>
      <c r="J68" s="59">
        <v>0.96</v>
      </c>
      <c r="K68" s="59">
        <v>19.489999999999998</v>
      </c>
      <c r="L68" s="59">
        <v>0.76</v>
      </c>
      <c r="M68" s="71">
        <v>0</v>
      </c>
    </row>
    <row r="69" spans="2:13" x14ac:dyDescent="0.25">
      <c r="B69" s="42"/>
      <c r="C69" s="43"/>
      <c r="D69" s="44"/>
      <c r="E69" s="48">
        <f t="shared" si="8"/>
        <v>1.6</v>
      </c>
      <c r="F69" s="46">
        <v>1.7</v>
      </c>
      <c r="G69" s="66">
        <v>50.4</v>
      </c>
      <c r="H69" s="47">
        <f t="shared" si="7"/>
        <v>1.7017023776563778</v>
      </c>
      <c r="I69" s="59">
        <v>45.33</v>
      </c>
      <c r="J69" s="59">
        <v>1.01</v>
      </c>
      <c r="K69" s="59">
        <v>19.170000000000002</v>
      </c>
      <c r="L69" s="59">
        <v>0.83</v>
      </c>
      <c r="M69" s="71">
        <v>0</v>
      </c>
    </row>
    <row r="70" spans="2:13" x14ac:dyDescent="0.25">
      <c r="B70" s="42"/>
      <c r="C70" s="43"/>
      <c r="D70" s="44"/>
      <c r="E70" s="48">
        <f t="shared" si="8"/>
        <v>1.7</v>
      </c>
      <c r="F70" s="46">
        <v>1.8</v>
      </c>
      <c r="G70" s="66">
        <v>22.2</v>
      </c>
      <c r="H70" s="47">
        <f t="shared" si="7"/>
        <v>0.74955938063435679</v>
      </c>
      <c r="I70" s="59">
        <v>49.95</v>
      </c>
      <c r="J70" s="59">
        <v>1.08</v>
      </c>
      <c r="K70" s="59">
        <v>19.34</v>
      </c>
      <c r="L70" s="59">
        <v>1.01</v>
      </c>
      <c r="M70" s="71">
        <v>0</v>
      </c>
    </row>
    <row r="71" spans="2:13" x14ac:dyDescent="0.25">
      <c r="B71" s="42"/>
      <c r="C71" s="43"/>
      <c r="D71" s="44"/>
      <c r="E71" s="48">
        <f t="shared" si="8"/>
        <v>1.8</v>
      </c>
      <c r="F71" s="46">
        <v>2</v>
      </c>
      <c r="G71" s="66">
        <v>55.4</v>
      </c>
      <c r="H71" s="47">
        <f t="shared" si="7"/>
        <v>1.8705220579794311</v>
      </c>
      <c r="I71" s="59">
        <v>57.6</v>
      </c>
      <c r="J71" s="59">
        <v>0.89</v>
      </c>
      <c r="K71" s="59">
        <v>21.87</v>
      </c>
      <c r="L71" s="59">
        <v>1.1299999999999999</v>
      </c>
      <c r="M71" s="71">
        <v>0</v>
      </c>
    </row>
    <row r="72" spans="2:13" x14ac:dyDescent="0.25">
      <c r="B72" s="42"/>
      <c r="C72" s="43"/>
      <c r="D72" s="44"/>
      <c r="E72" s="48">
        <f t="shared" si="8"/>
        <v>2</v>
      </c>
      <c r="F72" s="46">
        <v>2.2000000000000002</v>
      </c>
      <c r="G72" s="66">
        <v>121.2</v>
      </c>
      <c r="H72" s="47">
        <f t="shared" si="7"/>
        <v>4.0921890510308128</v>
      </c>
      <c r="I72" s="59">
        <v>70.430000000000007</v>
      </c>
      <c r="J72" s="59">
        <v>1.1599999999999999</v>
      </c>
      <c r="K72" s="59">
        <v>19.55</v>
      </c>
      <c r="L72" s="59">
        <v>0.32</v>
      </c>
      <c r="M72" s="71">
        <v>0</v>
      </c>
    </row>
    <row r="73" spans="2:13" x14ac:dyDescent="0.25">
      <c r="B73" s="42"/>
      <c r="C73" s="43"/>
      <c r="D73" s="44"/>
      <c r="E73" s="48">
        <f t="shared" si="8"/>
        <v>2.2000000000000002</v>
      </c>
      <c r="F73" s="46">
        <v>2.8</v>
      </c>
      <c r="G73" s="66">
        <v>99.04</v>
      </c>
      <c r="H73" s="47">
        <f t="shared" si="7"/>
        <v>3.3439802278390411</v>
      </c>
      <c r="I73" s="59">
        <v>74.73</v>
      </c>
      <c r="J73" s="59">
        <v>0.87</v>
      </c>
      <c r="K73" s="59">
        <v>20.55</v>
      </c>
      <c r="L73" s="59">
        <v>0.64</v>
      </c>
      <c r="M73" s="71">
        <v>0</v>
      </c>
    </row>
    <row r="74" spans="2:13" x14ac:dyDescent="0.25">
      <c r="B74" s="76" t="s">
        <v>72</v>
      </c>
      <c r="C74" s="77"/>
      <c r="D74" s="77"/>
      <c r="E74" s="49"/>
      <c r="F74" s="50"/>
      <c r="G74" s="51">
        <f>SUM(G60:G73)</f>
        <v>2961.74</v>
      </c>
      <c r="H74" s="52">
        <f>SUM(H60:H73)</f>
        <v>100</v>
      </c>
      <c r="I74" s="53">
        <f>SUMPRODUCT($H$60:$H$73,I60:I73)/$H$74</f>
        <v>15.661038848784838</v>
      </c>
      <c r="J74" s="53">
        <f t="shared" ref="J74:M74" si="9">SUMPRODUCT($H$60:$H$73,J60:J73)/$H$74</f>
        <v>0.80310148763902323</v>
      </c>
      <c r="K74" s="53">
        <f t="shared" si="9"/>
        <v>26.150147548400611</v>
      </c>
      <c r="L74" s="53">
        <f t="shared" si="9"/>
        <v>0.58384112042245451</v>
      </c>
      <c r="M74" s="60">
        <f t="shared" si="9"/>
        <v>5.7478374198950624</v>
      </c>
    </row>
    <row r="75" spans="2:13" x14ac:dyDescent="0.25">
      <c r="B75" s="38" t="s">
        <v>79</v>
      </c>
      <c r="C75" s="39" t="s">
        <v>80</v>
      </c>
      <c r="D75" s="40"/>
      <c r="E75" s="41"/>
      <c r="F75" s="41"/>
      <c r="G75" s="68">
        <v>1500</v>
      </c>
      <c r="H75" s="41"/>
      <c r="I75" s="41"/>
      <c r="J75" s="41"/>
      <c r="K75" s="41"/>
      <c r="L75" s="41"/>
      <c r="M75" s="41"/>
    </row>
    <row r="76" spans="2:13" x14ac:dyDescent="0.25">
      <c r="B76" s="42"/>
      <c r="C76" s="43"/>
      <c r="D76" s="44"/>
      <c r="E76" s="45">
        <v>1.25</v>
      </c>
      <c r="F76" s="46">
        <v>1.3</v>
      </c>
      <c r="G76" s="66">
        <v>611.79999999999995</v>
      </c>
      <c r="H76" s="47">
        <f>G76/$G$90*100</f>
        <v>42.187284512481035</v>
      </c>
      <c r="I76" s="59">
        <v>3.41</v>
      </c>
      <c r="J76" s="59">
        <v>0.7</v>
      </c>
      <c r="K76" s="59">
        <v>28.2</v>
      </c>
      <c r="L76" s="59">
        <v>0.56000000000000005</v>
      </c>
      <c r="M76" s="71">
        <v>8</v>
      </c>
    </row>
    <row r="77" spans="2:13" x14ac:dyDescent="0.25">
      <c r="B77" s="42"/>
      <c r="C77" s="43"/>
      <c r="D77" s="44"/>
      <c r="E77" s="48">
        <f>F76</f>
        <v>1.3</v>
      </c>
      <c r="F77" s="46">
        <v>1.325</v>
      </c>
      <c r="G77" s="66">
        <v>260.10000000000002</v>
      </c>
      <c r="H77" s="47">
        <f t="shared" ref="H77:H89" si="10">G77/$G$90*100</f>
        <v>17.935457178320231</v>
      </c>
      <c r="I77" s="59">
        <v>11.65</v>
      </c>
      <c r="J77" s="59">
        <v>0.66</v>
      </c>
      <c r="K77" s="59">
        <v>24.77</v>
      </c>
      <c r="L77" s="59">
        <v>0.52</v>
      </c>
      <c r="M77" s="71">
        <v>2</v>
      </c>
    </row>
    <row r="78" spans="2:13" x14ac:dyDescent="0.25">
      <c r="B78" s="42"/>
      <c r="C78" s="43"/>
      <c r="D78" s="44"/>
      <c r="E78" s="48">
        <f t="shared" ref="E78:E89" si="11">F77</f>
        <v>1.325</v>
      </c>
      <c r="F78" s="46">
        <v>1.35</v>
      </c>
      <c r="G78" s="66">
        <v>70</v>
      </c>
      <c r="H78" s="47">
        <f t="shared" si="10"/>
        <v>4.8269204247689972</v>
      </c>
      <c r="I78" s="59">
        <v>14.5</v>
      </c>
      <c r="J78" s="59">
        <v>0.7</v>
      </c>
      <c r="K78" s="59">
        <v>23.9</v>
      </c>
      <c r="L78" s="59">
        <v>0.66</v>
      </c>
      <c r="M78" s="71">
        <v>1</v>
      </c>
    </row>
    <row r="79" spans="2:13" x14ac:dyDescent="0.25">
      <c r="B79" s="42"/>
      <c r="C79" s="43"/>
      <c r="D79" s="44"/>
      <c r="E79" s="48">
        <f t="shared" si="11"/>
        <v>1.35</v>
      </c>
      <c r="F79" s="46">
        <v>1.375</v>
      </c>
      <c r="G79" s="66">
        <v>75.2</v>
      </c>
      <c r="H79" s="47">
        <f t="shared" si="10"/>
        <v>5.1854916563232658</v>
      </c>
      <c r="I79" s="59">
        <v>15.68</v>
      </c>
      <c r="J79" s="59">
        <v>0.63</v>
      </c>
      <c r="K79" s="59">
        <v>23.46</v>
      </c>
      <c r="L79" s="59">
        <v>0.59</v>
      </c>
      <c r="M79" s="71">
        <v>0.5</v>
      </c>
    </row>
    <row r="80" spans="2:13" x14ac:dyDescent="0.25">
      <c r="B80" s="42"/>
      <c r="C80" s="43"/>
      <c r="D80" s="44"/>
      <c r="E80" s="48">
        <f t="shared" si="11"/>
        <v>1.375</v>
      </c>
      <c r="F80" s="46">
        <v>1.4</v>
      </c>
      <c r="G80" s="66">
        <v>62.7</v>
      </c>
      <c r="H80" s="47">
        <f t="shared" si="10"/>
        <v>4.3235415804716588</v>
      </c>
      <c r="I80" s="59">
        <v>17.7</v>
      </c>
      <c r="J80" s="59">
        <v>0.68</v>
      </c>
      <c r="K80" s="59">
        <v>22.37</v>
      </c>
      <c r="L80" s="59">
        <v>0.64</v>
      </c>
      <c r="M80" s="71">
        <v>0.5</v>
      </c>
    </row>
    <row r="81" spans="2:13" x14ac:dyDescent="0.25">
      <c r="B81" s="42"/>
      <c r="C81" s="43"/>
      <c r="D81" s="44"/>
      <c r="E81" s="48">
        <f t="shared" si="11"/>
        <v>1.4</v>
      </c>
      <c r="F81" s="46">
        <v>1.425</v>
      </c>
      <c r="G81" s="66">
        <v>24.6</v>
      </c>
      <c r="H81" s="47">
        <f t="shared" si="10"/>
        <v>1.696317749275962</v>
      </c>
      <c r="I81" s="59">
        <v>21.35</v>
      </c>
      <c r="J81" s="59">
        <v>0.62</v>
      </c>
      <c r="K81" s="59">
        <v>21.41</v>
      </c>
      <c r="L81" s="59">
        <v>0.72</v>
      </c>
      <c r="M81" s="71">
        <v>0</v>
      </c>
    </row>
    <row r="82" spans="2:13" x14ac:dyDescent="0.25">
      <c r="B82" s="42"/>
      <c r="C82" s="43"/>
      <c r="D82" s="44"/>
      <c r="E82" s="48">
        <f t="shared" si="11"/>
        <v>1.425</v>
      </c>
      <c r="F82" s="46">
        <v>1.45</v>
      </c>
      <c r="G82" s="66">
        <v>33.5</v>
      </c>
      <c r="H82" s="47">
        <f t="shared" si="10"/>
        <v>2.3100262032823058</v>
      </c>
      <c r="I82" s="59">
        <v>22.53</v>
      </c>
      <c r="J82" s="59">
        <v>0.68</v>
      </c>
      <c r="K82" s="59">
        <v>21.53</v>
      </c>
      <c r="L82" s="59">
        <v>0.81</v>
      </c>
      <c r="M82" s="71">
        <v>0</v>
      </c>
    </row>
    <row r="83" spans="2:13" x14ac:dyDescent="0.25">
      <c r="B83" s="42"/>
      <c r="C83" s="43"/>
      <c r="D83" s="44"/>
      <c r="E83" s="48">
        <f t="shared" si="11"/>
        <v>1.45</v>
      </c>
      <c r="F83" s="46">
        <v>1.5</v>
      </c>
      <c r="G83" s="66">
        <v>36.5</v>
      </c>
      <c r="H83" s="47">
        <f t="shared" si="10"/>
        <v>2.5168942214866914</v>
      </c>
      <c r="I83" s="59">
        <v>25.11</v>
      </c>
      <c r="J83" s="59">
        <v>0.82</v>
      </c>
      <c r="K83" s="59">
        <v>21.14</v>
      </c>
      <c r="L83" s="59">
        <v>0.76</v>
      </c>
      <c r="M83" s="71">
        <v>0</v>
      </c>
    </row>
    <row r="84" spans="2:13" x14ac:dyDescent="0.25">
      <c r="B84" s="42"/>
      <c r="C84" s="43"/>
      <c r="D84" s="44"/>
      <c r="E84" s="48">
        <f t="shared" si="11"/>
        <v>1.5</v>
      </c>
      <c r="F84" s="46">
        <v>1.6</v>
      </c>
      <c r="G84" s="66">
        <v>42.2</v>
      </c>
      <c r="H84" s="47">
        <f t="shared" si="10"/>
        <v>2.9099434560750241</v>
      </c>
      <c r="I84" s="59">
        <v>32.72</v>
      </c>
      <c r="J84" s="59">
        <v>0.82</v>
      </c>
      <c r="K84" s="59">
        <v>19.87</v>
      </c>
      <c r="L84" s="59">
        <v>0.74</v>
      </c>
      <c r="M84" s="71">
        <v>0</v>
      </c>
    </row>
    <row r="85" spans="2:13" x14ac:dyDescent="0.25">
      <c r="B85" s="42"/>
      <c r="C85" s="43"/>
      <c r="D85" s="44"/>
      <c r="E85" s="48">
        <f t="shared" si="11"/>
        <v>1.6</v>
      </c>
      <c r="F85" s="46">
        <v>1.7</v>
      </c>
      <c r="G85" s="66">
        <v>37.700000000000003</v>
      </c>
      <c r="H85" s="47">
        <f t="shared" si="10"/>
        <v>2.5996414287684457</v>
      </c>
      <c r="I85" s="59">
        <v>40</v>
      </c>
      <c r="J85" s="59">
        <v>0.87</v>
      </c>
      <c r="K85" s="59">
        <v>18.59</v>
      </c>
      <c r="L85" s="59">
        <v>0.73</v>
      </c>
      <c r="M85" s="71">
        <v>0</v>
      </c>
    </row>
    <row r="86" spans="2:13" x14ac:dyDescent="0.25">
      <c r="B86" s="42"/>
      <c r="C86" s="43"/>
      <c r="D86" s="44"/>
      <c r="E86" s="48">
        <f t="shared" si="11"/>
        <v>1.7</v>
      </c>
      <c r="F86" s="46">
        <v>1.8</v>
      </c>
      <c r="G86" s="66">
        <v>26.2</v>
      </c>
      <c r="H86" s="47">
        <f t="shared" si="10"/>
        <v>1.8066473589849676</v>
      </c>
      <c r="I86" s="59">
        <v>49.42</v>
      </c>
      <c r="J86" s="59">
        <v>1.1000000000000001</v>
      </c>
      <c r="K86" s="59">
        <v>17.670000000000002</v>
      </c>
      <c r="L86" s="59">
        <v>0.82</v>
      </c>
      <c r="M86" s="71">
        <v>0</v>
      </c>
    </row>
    <row r="87" spans="2:13" x14ac:dyDescent="0.25">
      <c r="B87" s="42"/>
      <c r="C87" s="43"/>
      <c r="D87" s="44"/>
      <c r="E87" s="48">
        <f t="shared" si="11"/>
        <v>1.8</v>
      </c>
      <c r="F87" s="46">
        <v>2</v>
      </c>
      <c r="G87" s="66">
        <v>31.9</v>
      </c>
      <c r="H87" s="47">
        <f t="shared" si="10"/>
        <v>2.1996965935733002</v>
      </c>
      <c r="I87" s="59">
        <v>52.64</v>
      </c>
      <c r="J87" s="59">
        <v>1.06</v>
      </c>
      <c r="K87" s="59">
        <v>18.77</v>
      </c>
      <c r="L87" s="59">
        <v>1.05</v>
      </c>
      <c r="M87" s="71">
        <v>0</v>
      </c>
    </row>
    <row r="88" spans="2:13" x14ac:dyDescent="0.25">
      <c r="B88" s="42"/>
      <c r="C88" s="43"/>
      <c r="D88" s="44"/>
      <c r="E88" s="48">
        <f t="shared" si="11"/>
        <v>2</v>
      </c>
      <c r="F88" s="46">
        <v>2.2000000000000002</v>
      </c>
      <c r="G88" s="66">
        <v>27.2</v>
      </c>
      <c r="H88" s="47">
        <f t="shared" si="10"/>
        <v>1.8756033650530961</v>
      </c>
      <c r="I88" s="59">
        <v>58.83</v>
      </c>
      <c r="J88" s="59">
        <v>0.89</v>
      </c>
      <c r="K88" s="59">
        <v>24.38</v>
      </c>
      <c r="L88" s="59">
        <v>0.16</v>
      </c>
      <c r="M88" s="71">
        <v>0</v>
      </c>
    </row>
    <row r="89" spans="2:13" x14ac:dyDescent="0.25">
      <c r="B89" s="42"/>
      <c r="C89" s="43"/>
      <c r="D89" s="44"/>
      <c r="E89" s="48">
        <f t="shared" si="11"/>
        <v>2.2000000000000002</v>
      </c>
      <c r="F89" s="46">
        <v>2.8</v>
      </c>
      <c r="G89" s="66">
        <v>110.6</v>
      </c>
      <c r="H89" s="47">
        <f t="shared" si="10"/>
        <v>7.6265342711350161</v>
      </c>
      <c r="I89" s="59">
        <v>65.099999999999994</v>
      </c>
      <c r="J89" s="59">
        <v>0.65</v>
      </c>
      <c r="K89" s="59">
        <v>30.1</v>
      </c>
      <c r="L89" s="59">
        <v>0.27</v>
      </c>
      <c r="M89" s="71">
        <v>0</v>
      </c>
    </row>
    <row r="90" spans="2:13" x14ac:dyDescent="0.25">
      <c r="B90" s="76" t="s">
        <v>72</v>
      </c>
      <c r="C90" s="77"/>
      <c r="D90" s="77"/>
      <c r="E90" s="49"/>
      <c r="F90" s="50"/>
      <c r="G90" s="51">
        <f>SUM(G76:G89)</f>
        <v>1450.2</v>
      </c>
      <c r="H90" s="52">
        <f>SUM(H76:H89)</f>
        <v>100</v>
      </c>
      <c r="I90" s="53">
        <f>SUMPRODUCT($H$76:$H$89,I76:I89)/$H$90</f>
        <v>17.431974210453731</v>
      </c>
      <c r="J90" s="53">
        <f t="shared" ref="J90:M90" si="12">SUMPRODUCT($H$76:$H$89,J76:J89)/$H$90</f>
        <v>0.71233967728589154</v>
      </c>
      <c r="K90" s="53">
        <f t="shared" si="12"/>
        <v>25.615810922631361</v>
      </c>
      <c r="L90" s="53">
        <f t="shared" si="12"/>
        <v>0.57170390290994344</v>
      </c>
      <c r="M90" s="60">
        <f t="shared" si="12"/>
        <v>3.8295062749965525</v>
      </c>
    </row>
  </sheetData>
  <mergeCells count="14">
    <mergeCell ref="B58:D58"/>
    <mergeCell ref="B74:D74"/>
    <mergeCell ref="B90:D90"/>
    <mergeCell ref="G8:M8"/>
    <mergeCell ref="B9:C9"/>
    <mergeCell ref="E9:F9"/>
    <mergeCell ref="G9:H9"/>
    <mergeCell ref="B26:D26"/>
    <mergeCell ref="B42:D42"/>
    <mergeCell ref="E2:G2"/>
    <mergeCell ref="E3:G3"/>
    <mergeCell ref="E4:G4"/>
    <mergeCell ref="E5:G5"/>
    <mergeCell ref="E6:G6"/>
  </mergeCells>
  <pageMargins left="0.7" right="0.7" top="0.75" bottom="0.75" header="0.3" footer="0.3"/>
  <pageSetup paperSize="9" scale="53" orientation="portrait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7"/>
  <sheetViews>
    <sheetView showGridLines="0" view="pageBreakPreview" zoomScale="90" zoomScaleNormal="100" zoomScaleSheetLayoutView="90" workbookViewId="0">
      <selection activeCell="G3" sqref="G3"/>
    </sheetView>
  </sheetViews>
  <sheetFormatPr defaultRowHeight="15" x14ac:dyDescent="0.25"/>
  <cols>
    <col min="1" max="1" width="2" customWidth="1"/>
    <col min="3" max="3" width="10.85546875" customWidth="1"/>
    <col min="6" max="6" width="10.42578125" bestFit="1" customWidth="1"/>
    <col min="11" max="11" width="13.140625" bestFit="1" customWidth="1"/>
  </cols>
  <sheetData>
    <row r="1" spans="2:12" x14ac:dyDescent="0.25">
      <c r="B1" s="1" t="s">
        <v>100</v>
      </c>
      <c r="D1" t="s">
        <v>101</v>
      </c>
    </row>
    <row r="2" spans="2:12" x14ac:dyDescent="0.25">
      <c r="B2" s="1" t="s">
        <v>0</v>
      </c>
      <c r="C2" s="1"/>
      <c r="D2" s="91" t="str">
        <f>'Raw Coal analysis'!C2</f>
        <v>PR11_B35_4C</v>
      </c>
      <c r="E2" s="91"/>
      <c r="F2" s="91"/>
    </row>
    <row r="3" spans="2:12" x14ac:dyDescent="0.25">
      <c r="B3" s="1" t="s">
        <v>1</v>
      </c>
      <c r="C3" s="1"/>
      <c r="D3" s="62" t="s">
        <v>81</v>
      </c>
      <c r="E3" s="8"/>
      <c r="F3" s="8"/>
    </row>
    <row r="4" spans="2:12" x14ac:dyDescent="0.25">
      <c r="B4" s="1" t="s">
        <v>2</v>
      </c>
      <c r="C4" s="1"/>
      <c r="D4" s="91" t="str">
        <f>'Raw Coal analysis'!C4</f>
        <v>2019.09.19</v>
      </c>
      <c r="E4" s="91"/>
      <c r="F4" s="91"/>
    </row>
    <row r="5" spans="2:12" x14ac:dyDescent="0.25">
      <c r="B5" s="1" t="s">
        <v>3</v>
      </c>
      <c r="C5" s="1"/>
      <c r="D5" s="91">
        <f>'Raw Coal analysis'!C5</f>
        <v>0</v>
      </c>
      <c r="E5" s="91"/>
      <c r="F5" s="91"/>
    </row>
    <row r="6" spans="2:12" x14ac:dyDescent="0.25">
      <c r="B6" s="1" t="s">
        <v>4</v>
      </c>
      <c r="C6" s="1"/>
      <c r="D6" s="91" t="str">
        <f>'Raw Coal analysis'!C6</f>
        <v>2019.09.06</v>
      </c>
      <c r="E6" s="91"/>
      <c r="F6" s="91"/>
    </row>
    <row r="8" spans="2:12" ht="45" x14ac:dyDescent="0.25">
      <c r="B8" s="85" t="s">
        <v>58</v>
      </c>
      <c r="C8" s="86"/>
      <c r="D8" s="23" t="s">
        <v>59</v>
      </c>
      <c r="E8" s="24" t="s">
        <v>82</v>
      </c>
      <c r="F8" s="87" t="s">
        <v>61</v>
      </c>
      <c r="G8" s="88"/>
      <c r="H8" s="12" t="s">
        <v>10</v>
      </c>
      <c r="I8" s="12" t="s">
        <v>62</v>
      </c>
      <c r="J8" s="12" t="s">
        <v>94</v>
      </c>
      <c r="K8" s="12" t="s">
        <v>14</v>
      </c>
      <c r="L8" s="12" t="s">
        <v>63</v>
      </c>
    </row>
    <row r="9" spans="2:12" x14ac:dyDescent="0.25">
      <c r="B9" s="13"/>
      <c r="C9" s="13"/>
      <c r="D9" s="13"/>
      <c r="E9" s="13"/>
      <c r="F9" s="13" t="s">
        <v>66</v>
      </c>
      <c r="G9" s="13" t="s">
        <v>67</v>
      </c>
      <c r="H9" s="13" t="s">
        <v>67</v>
      </c>
      <c r="I9" s="13" t="s">
        <v>68</v>
      </c>
      <c r="J9" s="13" t="s">
        <v>69</v>
      </c>
      <c r="K9" s="13"/>
      <c r="L9" s="13"/>
    </row>
    <row r="10" spans="2:12" x14ac:dyDescent="0.25">
      <c r="B10" s="14" t="s">
        <v>83</v>
      </c>
      <c r="C10" s="15" t="s">
        <v>84</v>
      </c>
      <c r="D10" s="16"/>
      <c r="E10" s="17"/>
      <c r="F10" s="68">
        <v>350</v>
      </c>
      <c r="G10" s="17"/>
      <c r="H10" s="17"/>
      <c r="I10" s="17"/>
      <c r="J10" s="17"/>
      <c r="K10" s="17"/>
      <c r="L10" s="17"/>
    </row>
    <row r="11" spans="2:12" x14ac:dyDescent="0.25">
      <c r="B11" s="18"/>
      <c r="C11" s="19"/>
      <c r="D11" s="20"/>
      <c r="E11" s="20" t="s">
        <v>85</v>
      </c>
      <c r="F11" s="66">
        <v>193.9</v>
      </c>
      <c r="G11" s="47">
        <f t="shared" ref="G11:G15" si="0">F11/$F$17*100</f>
        <v>57.932476844935763</v>
      </c>
      <c r="H11" s="59">
        <v>9.7200000000000006</v>
      </c>
      <c r="I11" s="59">
        <v>0.68</v>
      </c>
      <c r="J11" s="59">
        <v>24.74</v>
      </c>
      <c r="K11" s="59">
        <v>0.66</v>
      </c>
      <c r="L11" s="71">
        <v>7.5</v>
      </c>
    </row>
    <row r="12" spans="2:12" x14ac:dyDescent="0.25">
      <c r="B12" s="18"/>
      <c r="C12" s="19"/>
      <c r="D12" s="20"/>
      <c r="E12" s="20" t="s">
        <v>86</v>
      </c>
      <c r="F12" s="66">
        <v>113.6</v>
      </c>
      <c r="G12" s="47">
        <f>F12/$F$17*100</f>
        <v>33.940842545563186</v>
      </c>
      <c r="H12" s="59">
        <v>16.09</v>
      </c>
      <c r="I12" s="59">
        <v>0.68</v>
      </c>
      <c r="J12" s="59">
        <v>25.73</v>
      </c>
      <c r="K12" s="59">
        <v>0.98</v>
      </c>
      <c r="L12" s="71">
        <v>6</v>
      </c>
    </row>
    <row r="13" spans="2:12" x14ac:dyDescent="0.25">
      <c r="B13" s="18"/>
      <c r="C13" s="19"/>
      <c r="D13" s="20"/>
      <c r="E13" s="20" t="s">
        <v>87</v>
      </c>
      <c r="F13" s="66">
        <v>9.6999999999999993</v>
      </c>
      <c r="G13" s="47">
        <f t="shared" si="0"/>
        <v>2.8981177173588288</v>
      </c>
      <c r="H13" s="59">
        <v>23.85</v>
      </c>
      <c r="I13" s="59">
        <v>0.74</v>
      </c>
      <c r="J13" s="59">
        <v>24.08</v>
      </c>
      <c r="K13" s="59">
        <v>1.25</v>
      </c>
      <c r="L13" s="71">
        <v>1</v>
      </c>
    </row>
    <row r="14" spans="2:12" x14ac:dyDescent="0.25">
      <c r="B14" s="18"/>
      <c r="C14" s="19"/>
      <c r="D14" s="20"/>
      <c r="E14" s="20" t="s">
        <v>88</v>
      </c>
      <c r="F14" s="66">
        <v>1.8</v>
      </c>
      <c r="G14" s="47">
        <f t="shared" si="0"/>
        <v>0.53779504033462799</v>
      </c>
      <c r="H14" s="59" t="s">
        <v>9</v>
      </c>
      <c r="I14" s="59" t="s">
        <v>9</v>
      </c>
      <c r="J14" s="59" t="s">
        <v>9</v>
      </c>
      <c r="K14" s="59" t="s">
        <v>9</v>
      </c>
      <c r="L14" s="71">
        <v>0.5</v>
      </c>
    </row>
    <row r="15" spans="2:12" x14ac:dyDescent="0.25">
      <c r="B15" s="18"/>
      <c r="C15" s="19"/>
      <c r="D15" s="20"/>
      <c r="E15" s="20" t="s">
        <v>89</v>
      </c>
      <c r="F15" s="66">
        <v>14.2</v>
      </c>
      <c r="G15" s="47">
        <f t="shared" si="0"/>
        <v>4.2426053181953982</v>
      </c>
      <c r="H15" s="59">
        <v>69.989999999999995</v>
      </c>
      <c r="I15" s="59">
        <v>0.51</v>
      </c>
      <c r="J15" s="59">
        <v>25.21</v>
      </c>
      <c r="K15" s="59">
        <v>0.27</v>
      </c>
      <c r="L15" s="71">
        <v>0</v>
      </c>
    </row>
    <row r="16" spans="2:12" x14ac:dyDescent="0.25">
      <c r="B16" s="18"/>
      <c r="C16" s="19"/>
      <c r="D16" s="20"/>
      <c r="E16" s="20" t="s">
        <v>90</v>
      </c>
      <c r="F16" s="66">
        <v>1.5</v>
      </c>
      <c r="G16" s="47">
        <f>F16/$F$17*100</f>
        <v>0.44816253361219005</v>
      </c>
      <c r="H16" s="59" t="s">
        <v>9</v>
      </c>
      <c r="I16" s="59" t="s">
        <v>9</v>
      </c>
      <c r="J16" s="59" t="s">
        <v>9</v>
      </c>
      <c r="K16" s="59" t="s">
        <v>9</v>
      </c>
      <c r="L16" s="71">
        <v>0</v>
      </c>
    </row>
    <row r="17" spans="2:12" x14ac:dyDescent="0.25">
      <c r="B17" s="89" t="s">
        <v>72</v>
      </c>
      <c r="C17" s="90"/>
      <c r="D17" s="90"/>
      <c r="E17" s="21"/>
      <c r="F17" s="25">
        <f>SUM(F11:F16)</f>
        <v>334.7</v>
      </c>
      <c r="G17" s="22">
        <f>SUM(G11:G16)</f>
        <v>100</v>
      </c>
      <c r="H17" s="72">
        <f>SUMPRODUCT($G$11:$G$16,H11:H16)/$G$17</f>
        <v>14.752718852703914</v>
      </c>
      <c r="I17" s="72">
        <f t="shared" ref="I17:L17" si="1">SUMPRODUCT($G$11:$G$16,I11:I16)/$G$17</f>
        <v>0.66782193008664459</v>
      </c>
      <c r="J17" s="72">
        <f t="shared" si="1"/>
        <v>24.832901105467577</v>
      </c>
      <c r="K17" s="72">
        <f t="shared" si="1"/>
        <v>0.76265610994920818</v>
      </c>
      <c r="L17" s="72">
        <f t="shared" si="1"/>
        <v>6.4130564684792351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ageMargins left="0.7" right="0.7" top="0.75" bottom="0.75" header="0.3" footer="0.3"/>
  <pageSetup paperSize="9" scale="78" orientation="portrait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7"/>
  <sheetViews>
    <sheetView showGridLines="0" view="pageBreakPreview" zoomScale="110" zoomScaleNormal="100" zoomScaleSheetLayoutView="110" workbookViewId="0">
      <selection activeCell="C2" sqref="C2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100</v>
      </c>
    </row>
    <row r="2" spans="2:10" x14ac:dyDescent="0.25">
      <c r="B2" s="1" t="s">
        <v>0</v>
      </c>
    </row>
    <row r="3" spans="2:10" x14ac:dyDescent="0.25">
      <c r="B3" s="1" t="s">
        <v>1</v>
      </c>
    </row>
    <row r="4" spans="2:10" x14ac:dyDescent="0.25">
      <c r="B4" s="1" t="s">
        <v>2</v>
      </c>
    </row>
    <row r="5" spans="2:10" x14ac:dyDescent="0.25">
      <c r="B5" s="1" t="s">
        <v>3</v>
      </c>
    </row>
    <row r="6" spans="2:10" x14ac:dyDescent="0.25">
      <c r="B6" s="1" t="s">
        <v>4</v>
      </c>
    </row>
    <row r="9" spans="2:10" ht="28.5" x14ac:dyDescent="0.25">
      <c r="B9" s="26" t="s">
        <v>5</v>
      </c>
      <c r="C9" s="27" t="s">
        <v>91</v>
      </c>
      <c r="D9" s="4"/>
      <c r="E9" s="4"/>
      <c r="F9" s="4"/>
      <c r="G9" s="4"/>
      <c r="H9" s="4"/>
      <c r="I9" s="4"/>
      <c r="J9" s="4"/>
    </row>
    <row r="10" spans="2:10" x14ac:dyDescent="0.25">
      <c r="B10" s="26" t="s">
        <v>6</v>
      </c>
      <c r="C10" s="5"/>
      <c r="E10" s="6"/>
      <c r="F10" s="6"/>
    </row>
    <row r="11" spans="2:10" x14ac:dyDescent="0.25">
      <c r="B11" s="26" t="s">
        <v>7</v>
      </c>
      <c r="C11" s="5"/>
    </row>
    <row r="12" spans="2:10" x14ac:dyDescent="0.25">
      <c r="B12" s="26" t="s">
        <v>8</v>
      </c>
      <c r="C12" s="7" t="s">
        <v>9</v>
      </c>
    </row>
    <row r="13" spans="2:10" x14ac:dyDescent="0.25">
      <c r="B13" s="26" t="s">
        <v>10</v>
      </c>
      <c r="C13" s="7" t="s">
        <v>9</v>
      </c>
    </row>
    <row r="14" spans="2:10" x14ac:dyDescent="0.25">
      <c r="B14" s="26" t="s">
        <v>11</v>
      </c>
      <c r="C14" s="5"/>
    </row>
    <row r="15" spans="2:10" x14ac:dyDescent="0.25">
      <c r="B15" s="26" t="s">
        <v>12</v>
      </c>
      <c r="C15" s="5"/>
    </row>
    <row r="16" spans="2:10" x14ac:dyDescent="0.25">
      <c r="B16" s="26" t="s">
        <v>13</v>
      </c>
      <c r="C16" s="5"/>
    </row>
    <row r="17" spans="2:3" x14ac:dyDescent="0.25">
      <c r="B17" s="26" t="s">
        <v>14</v>
      </c>
      <c r="C17" s="5"/>
    </row>
    <row r="18" spans="2:3" x14ac:dyDescent="0.25">
      <c r="B18" s="26" t="s">
        <v>15</v>
      </c>
      <c r="C18" s="5"/>
    </row>
    <row r="19" spans="2:3" x14ac:dyDescent="0.25">
      <c r="B19" s="8"/>
    </row>
    <row r="21" spans="2:3" x14ac:dyDescent="0.25">
      <c r="B21" s="9" t="s">
        <v>16</v>
      </c>
    </row>
    <row r="22" spans="2:3" ht="29.45" customHeight="1" x14ac:dyDescent="0.25">
      <c r="B22" s="28" t="s">
        <v>17</v>
      </c>
      <c r="C22" s="3"/>
    </row>
    <row r="23" spans="2:3" x14ac:dyDescent="0.25">
      <c r="B23" s="26" t="s">
        <v>18</v>
      </c>
      <c r="C23" s="5"/>
    </row>
    <row r="24" spans="2:3" x14ac:dyDescent="0.25">
      <c r="B24" s="11"/>
      <c r="C24" s="5"/>
    </row>
    <row r="25" spans="2:3" x14ac:dyDescent="0.25">
      <c r="B25" s="26" t="s">
        <v>19</v>
      </c>
      <c r="C25" s="7"/>
    </row>
    <row r="26" spans="2:3" x14ac:dyDescent="0.25">
      <c r="B26" s="26" t="s">
        <v>20</v>
      </c>
      <c r="C26" s="7"/>
    </row>
    <row r="27" spans="2:3" x14ac:dyDescent="0.25">
      <c r="B27" s="26" t="s">
        <v>21</v>
      </c>
      <c r="C27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turbat.e</cp:lastModifiedBy>
  <cp:lastPrinted>2019-08-29T07:37:14Z</cp:lastPrinted>
  <dcterms:created xsi:type="dcterms:W3CDTF">2015-06-05T18:17:20Z</dcterms:created>
  <dcterms:modified xsi:type="dcterms:W3CDTF">2019-09-19T01:09:52Z</dcterms:modified>
</cp:coreProperties>
</file>