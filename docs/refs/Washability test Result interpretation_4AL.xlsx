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khtuvshin.b\Desktop\"/>
    </mc:Choice>
  </mc:AlternateContent>
  <bookViews>
    <workbookView xWindow="28695" yWindow="-105" windowWidth="29010" windowHeight="17610" firstSheet="3" activeTab="7"/>
  </bookViews>
  <sheets>
    <sheet name="Instruction" sheetId="2" r:id="rId1"/>
    <sheet name="Inst.Eng" sheetId="9" r:id="rId2"/>
    <sheet name="Raw Coal analysis" sheetId="3" r:id="rId3"/>
    <sheet name="Pretreatment" sheetId="4" r:id="rId4"/>
    <sheet name="Float sink" sheetId="5" r:id="rId5"/>
    <sheet name="Froth Flotation" sheetId="6" r:id="rId6"/>
    <sheet name="Composite Product Analysis " sheetId="7" r:id="rId7"/>
    <sheet name="Summary " sheetId="11" r:id="rId8"/>
  </sheets>
  <externalReferences>
    <externalReference r:id="rId9"/>
  </externalReferences>
  <definedNames>
    <definedName name="\Convergence">"1000000.000000"</definedName>
    <definedName name="\IterationCount">0</definedName>
    <definedName name="\WorstStream">" "</definedName>
    <definedName name="_xlnm.Print_Area" localSheetId="6">'Composite Product Analysis '!$A$1:$D$29</definedName>
    <definedName name="_xlnm.Print_Area" localSheetId="4">'Float sink'!$A$1:$AY$147</definedName>
    <definedName name="_xlnm.Print_Area" localSheetId="5">'Froth Flotation'!$A$1:$V$42</definedName>
    <definedName name="_xlnm.Print_Area" localSheetId="1">Inst.Eng!$A$1:$AM$126</definedName>
    <definedName name="_xlnm.Print_Area" localSheetId="0">Instruction!$A$1:$AL$107</definedName>
    <definedName name="_xlnm.Print_Area" localSheetId="3">Pretreatment!$A$1:$V$59</definedName>
    <definedName name="_xlnm.Print_Area" localSheetId="2">'Raw Coal analysis'!$A$1:$D$31</definedName>
    <definedName name="_xlnm.Print_Area" localSheetId="7">'Summary '!$A$1:$M$45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4" l="1"/>
  <c r="M17" i="11"/>
  <c r="M16" i="11"/>
  <c r="M15" i="11"/>
  <c r="E17" i="6" l="1"/>
  <c r="F16" i="6" s="1"/>
  <c r="H16" i="6" s="1"/>
  <c r="F15" i="6"/>
  <c r="H15" i="6" s="1"/>
  <c r="F13" i="6"/>
  <c r="H13" i="6" s="1"/>
  <c r="F11" i="6"/>
  <c r="D1" i="6"/>
  <c r="G89" i="5"/>
  <c r="S88" i="5"/>
  <c r="N88" i="5"/>
  <c r="H88" i="5"/>
  <c r="R88" i="5" s="1"/>
  <c r="E88" i="5"/>
  <c r="S87" i="5"/>
  <c r="R87" i="5"/>
  <c r="N87" i="5"/>
  <c r="H87" i="5"/>
  <c r="E87" i="5"/>
  <c r="S86" i="5"/>
  <c r="N86" i="5"/>
  <c r="H86" i="5"/>
  <c r="R86" i="5" s="1"/>
  <c r="E86" i="5"/>
  <c r="S85" i="5"/>
  <c r="N85" i="5"/>
  <c r="H85" i="5"/>
  <c r="R85" i="5" s="1"/>
  <c r="E85" i="5"/>
  <c r="S84" i="5"/>
  <c r="N84" i="5"/>
  <c r="H84" i="5"/>
  <c r="R84" i="5" s="1"/>
  <c r="E84" i="5"/>
  <c r="S83" i="5"/>
  <c r="N83" i="5"/>
  <c r="H83" i="5"/>
  <c r="R83" i="5" s="1"/>
  <c r="E83" i="5"/>
  <c r="S82" i="5"/>
  <c r="R82" i="5"/>
  <c r="AB83" i="5" s="1"/>
  <c r="N82" i="5"/>
  <c r="H82" i="5"/>
  <c r="E82" i="5"/>
  <c r="S81" i="5"/>
  <c r="N81" i="5"/>
  <c r="H81" i="5"/>
  <c r="R81" i="5" s="1"/>
  <c r="E81" i="5"/>
  <c r="S80" i="5"/>
  <c r="R80" i="5"/>
  <c r="N80" i="5"/>
  <c r="H80" i="5"/>
  <c r="E80" i="5"/>
  <c r="S79" i="5"/>
  <c r="N79" i="5"/>
  <c r="H79" i="5"/>
  <c r="R79" i="5" s="1"/>
  <c r="E79" i="5"/>
  <c r="S78" i="5"/>
  <c r="R78" i="5"/>
  <c r="N78" i="5"/>
  <c r="H78" i="5"/>
  <c r="E78" i="5"/>
  <c r="S77" i="5"/>
  <c r="N77" i="5"/>
  <c r="H77" i="5"/>
  <c r="H89" i="5" s="1"/>
  <c r="E77" i="5"/>
  <c r="S76" i="5"/>
  <c r="N76" i="5"/>
  <c r="H76" i="5"/>
  <c r="R76" i="5" s="1"/>
  <c r="E76" i="5"/>
  <c r="S75" i="5"/>
  <c r="R75" i="5"/>
  <c r="N75" i="5"/>
  <c r="H75" i="5"/>
  <c r="G73" i="5"/>
  <c r="S72" i="5"/>
  <c r="N72" i="5"/>
  <c r="H72" i="5"/>
  <c r="R72" i="5" s="1"/>
  <c r="E72" i="5"/>
  <c r="S71" i="5"/>
  <c r="N71" i="5"/>
  <c r="H71" i="5"/>
  <c r="R71" i="5" s="1"/>
  <c r="E71" i="5"/>
  <c r="S70" i="5"/>
  <c r="R70" i="5"/>
  <c r="N70" i="5"/>
  <c r="H70" i="5"/>
  <c r="E70" i="5"/>
  <c r="S69" i="5"/>
  <c r="N69" i="5"/>
  <c r="H69" i="5"/>
  <c r="R69" i="5" s="1"/>
  <c r="E69" i="5"/>
  <c r="S68" i="5"/>
  <c r="N68" i="5"/>
  <c r="H68" i="5"/>
  <c r="R68" i="5" s="1"/>
  <c r="E68" i="5"/>
  <c r="S67" i="5"/>
  <c r="R67" i="5"/>
  <c r="N67" i="5"/>
  <c r="H67" i="5"/>
  <c r="E67" i="5"/>
  <c r="S66" i="5"/>
  <c r="N66" i="5"/>
  <c r="H66" i="5"/>
  <c r="R66" i="5" s="1"/>
  <c r="E66" i="5"/>
  <c r="S65" i="5"/>
  <c r="R65" i="5"/>
  <c r="N65" i="5"/>
  <c r="H65" i="5"/>
  <c r="E65" i="5"/>
  <c r="S64" i="5"/>
  <c r="R64" i="5"/>
  <c r="X64" i="5" s="1"/>
  <c r="N64" i="5"/>
  <c r="H64" i="5"/>
  <c r="E64" i="5"/>
  <c r="S63" i="5"/>
  <c r="N63" i="5"/>
  <c r="H63" i="5"/>
  <c r="R63" i="5" s="1"/>
  <c r="E63" i="5"/>
  <c r="S62" i="5"/>
  <c r="N62" i="5"/>
  <c r="H62" i="5"/>
  <c r="R62" i="5" s="1"/>
  <c r="E62" i="5"/>
  <c r="S61" i="5"/>
  <c r="R61" i="5"/>
  <c r="N61" i="5"/>
  <c r="H61" i="5"/>
  <c r="E61" i="5"/>
  <c r="S60" i="5"/>
  <c r="N60" i="5"/>
  <c r="H60" i="5"/>
  <c r="R60" i="5" s="1"/>
  <c r="E60" i="5"/>
  <c r="S59" i="5"/>
  <c r="N59" i="5"/>
  <c r="H59" i="5"/>
  <c r="G57" i="5"/>
  <c r="H55" i="5" s="1"/>
  <c r="R55" i="5" s="1"/>
  <c r="S56" i="5"/>
  <c r="AM56" i="5" s="1"/>
  <c r="N56" i="5"/>
  <c r="H56" i="5"/>
  <c r="R56" i="5" s="1"/>
  <c r="E56" i="5"/>
  <c r="S55" i="5"/>
  <c r="AM55" i="5" s="1"/>
  <c r="N55" i="5"/>
  <c r="E55" i="5"/>
  <c r="S54" i="5"/>
  <c r="AM54" i="5" s="1"/>
  <c r="R54" i="5"/>
  <c r="AL54" i="5" s="1"/>
  <c r="N54" i="5"/>
  <c r="H54" i="5"/>
  <c r="E54" i="5"/>
  <c r="S53" i="5"/>
  <c r="AM53" i="5" s="1"/>
  <c r="N53" i="5"/>
  <c r="E53" i="5"/>
  <c r="AM52" i="5"/>
  <c r="S52" i="5"/>
  <c r="N52" i="5"/>
  <c r="H52" i="5"/>
  <c r="R52" i="5" s="1"/>
  <c r="E52" i="5"/>
  <c r="S51" i="5"/>
  <c r="AM51" i="5" s="1"/>
  <c r="N51" i="5"/>
  <c r="E51" i="5"/>
  <c r="S50" i="5"/>
  <c r="AM50" i="5" s="1"/>
  <c r="N50" i="5"/>
  <c r="H50" i="5"/>
  <c r="R50" i="5" s="1"/>
  <c r="E50" i="5"/>
  <c r="S49" i="5"/>
  <c r="AM49" i="5" s="1"/>
  <c r="N49" i="5"/>
  <c r="E49" i="5"/>
  <c r="AM48" i="5"/>
  <c r="S48" i="5"/>
  <c r="R48" i="5"/>
  <c r="N48" i="5"/>
  <c r="H48" i="5"/>
  <c r="E48" i="5"/>
  <c r="S47" i="5"/>
  <c r="AM47" i="5" s="1"/>
  <c r="N47" i="5"/>
  <c r="E47" i="5"/>
  <c r="AM46" i="5"/>
  <c r="S46" i="5"/>
  <c r="N46" i="5"/>
  <c r="H46" i="5"/>
  <c r="R46" i="5" s="1"/>
  <c r="E46" i="5"/>
  <c r="S45" i="5"/>
  <c r="AM45" i="5" s="1"/>
  <c r="N45" i="5"/>
  <c r="E45" i="5"/>
  <c r="S44" i="5"/>
  <c r="AM44" i="5" s="1"/>
  <c r="N44" i="5"/>
  <c r="H44" i="5"/>
  <c r="R44" i="5" s="1"/>
  <c r="E44" i="5"/>
  <c r="S43" i="5"/>
  <c r="AM43" i="5" s="1"/>
  <c r="N43" i="5"/>
  <c r="G41" i="5"/>
  <c r="S40" i="5"/>
  <c r="N40" i="5"/>
  <c r="H40" i="5"/>
  <c r="R40" i="5" s="1"/>
  <c r="E40" i="5"/>
  <c r="S39" i="5"/>
  <c r="R39" i="5"/>
  <c r="N39" i="5"/>
  <c r="H39" i="5"/>
  <c r="E39" i="5"/>
  <c r="S38" i="5"/>
  <c r="R38" i="5"/>
  <c r="X38" i="5" s="1"/>
  <c r="N38" i="5"/>
  <c r="H38" i="5"/>
  <c r="E38" i="5"/>
  <c r="S37" i="5"/>
  <c r="R37" i="5"/>
  <c r="AB37" i="5" s="1"/>
  <c r="N37" i="5"/>
  <c r="H37" i="5"/>
  <c r="E37" i="5"/>
  <c r="S36" i="5"/>
  <c r="N36" i="5"/>
  <c r="H36" i="5"/>
  <c r="R36" i="5" s="1"/>
  <c r="E36" i="5"/>
  <c r="S35" i="5"/>
  <c r="N35" i="5"/>
  <c r="H35" i="5"/>
  <c r="R35" i="5" s="1"/>
  <c r="E35" i="5"/>
  <c r="S34" i="5"/>
  <c r="R34" i="5"/>
  <c r="N34" i="5"/>
  <c r="H34" i="5"/>
  <c r="E34" i="5"/>
  <c r="S33" i="5"/>
  <c r="N33" i="5"/>
  <c r="H33" i="5"/>
  <c r="R33" i="5" s="1"/>
  <c r="E33" i="5"/>
  <c r="S32" i="5"/>
  <c r="N32" i="5"/>
  <c r="H32" i="5"/>
  <c r="R32" i="5" s="1"/>
  <c r="E32" i="5"/>
  <c r="S31" i="5"/>
  <c r="R31" i="5"/>
  <c r="N31" i="5"/>
  <c r="H31" i="5"/>
  <c r="E31" i="5"/>
  <c r="S30" i="5"/>
  <c r="R30" i="5"/>
  <c r="X30" i="5" s="1"/>
  <c r="N30" i="5"/>
  <c r="H30" i="5"/>
  <c r="E30" i="5"/>
  <c r="S29" i="5"/>
  <c r="N29" i="5"/>
  <c r="H29" i="5"/>
  <c r="H41" i="5" s="1"/>
  <c r="E29" i="5"/>
  <c r="S28" i="5"/>
  <c r="R28" i="5"/>
  <c r="N28" i="5"/>
  <c r="H28" i="5"/>
  <c r="E28" i="5"/>
  <c r="S27" i="5"/>
  <c r="R27" i="5"/>
  <c r="N27" i="5"/>
  <c r="H27" i="5"/>
  <c r="M41" i="5" s="1"/>
  <c r="O25" i="5"/>
  <c r="G25" i="5"/>
  <c r="S24" i="5"/>
  <c r="N24" i="5"/>
  <c r="H24" i="5"/>
  <c r="R24" i="5" s="1"/>
  <c r="E24" i="5"/>
  <c r="S23" i="5"/>
  <c r="R23" i="5"/>
  <c r="N23" i="5"/>
  <c r="H23" i="5"/>
  <c r="E23" i="5"/>
  <c r="S22" i="5"/>
  <c r="R22" i="5"/>
  <c r="N22" i="5"/>
  <c r="H22" i="5"/>
  <c r="E22" i="5"/>
  <c r="S21" i="5"/>
  <c r="R21" i="5"/>
  <c r="N21" i="5"/>
  <c r="H21" i="5"/>
  <c r="E21" i="5"/>
  <c r="S20" i="5"/>
  <c r="N20" i="5"/>
  <c r="H20" i="5"/>
  <c r="R20" i="5" s="1"/>
  <c r="E20" i="5"/>
  <c r="S19" i="5"/>
  <c r="N19" i="5"/>
  <c r="H19" i="5"/>
  <c r="R19" i="5" s="1"/>
  <c r="E19" i="5"/>
  <c r="S18" i="5"/>
  <c r="N18" i="5"/>
  <c r="H18" i="5"/>
  <c r="R18" i="5" s="1"/>
  <c r="E18" i="5"/>
  <c r="S17" i="5"/>
  <c r="N17" i="5"/>
  <c r="H17" i="5"/>
  <c r="R17" i="5" s="1"/>
  <c r="E17" i="5"/>
  <c r="S16" i="5"/>
  <c r="N16" i="5"/>
  <c r="H16" i="5"/>
  <c r="R16" i="5" s="1"/>
  <c r="E16" i="5"/>
  <c r="S15" i="5"/>
  <c r="R15" i="5"/>
  <c r="N15" i="5"/>
  <c r="H15" i="5"/>
  <c r="E15" i="5"/>
  <c r="S14" i="5"/>
  <c r="N14" i="5"/>
  <c r="H14" i="5"/>
  <c r="R14" i="5" s="1"/>
  <c r="E14" i="5"/>
  <c r="S13" i="5"/>
  <c r="N13" i="5"/>
  <c r="H13" i="5"/>
  <c r="R13" i="5" s="1"/>
  <c r="E13" i="5"/>
  <c r="S12" i="5"/>
  <c r="N12" i="5"/>
  <c r="H12" i="5"/>
  <c r="R12" i="5" s="1"/>
  <c r="E12" i="5"/>
  <c r="S11" i="5"/>
  <c r="R11" i="5"/>
  <c r="U19" i="5" s="1"/>
  <c r="AA19" i="5" s="1"/>
  <c r="N11" i="5"/>
  <c r="H11" i="5"/>
  <c r="D5" i="5"/>
  <c r="D2" i="5"/>
  <c r="D1" i="5"/>
  <c r="AA59" i="4"/>
  <c r="AA58" i="4"/>
  <c r="AA56" i="4"/>
  <c r="AA55" i="4"/>
  <c r="D55" i="4"/>
  <c r="E55" i="4" s="1"/>
  <c r="D54" i="4"/>
  <c r="E54" i="4" s="1"/>
  <c r="AA53" i="4"/>
  <c r="AA52" i="4"/>
  <c r="E52" i="4"/>
  <c r="D52" i="4"/>
  <c r="U51" i="4"/>
  <c r="N51" i="4"/>
  <c r="J51" i="4"/>
  <c r="G51" i="4"/>
  <c r="R51" i="4" s="1"/>
  <c r="S51" i="4" s="1"/>
  <c r="T51" i="4" s="1"/>
  <c r="E51" i="4"/>
  <c r="AA50" i="4"/>
  <c r="U50" i="4"/>
  <c r="N50" i="4"/>
  <c r="J50" i="4"/>
  <c r="E50" i="4"/>
  <c r="AA49" i="4"/>
  <c r="U49" i="4"/>
  <c r="N49" i="4"/>
  <c r="J49" i="4"/>
  <c r="E49" i="4"/>
  <c r="U48" i="4"/>
  <c r="N48" i="4"/>
  <c r="J48" i="4"/>
  <c r="E48" i="4"/>
  <c r="AA47" i="4"/>
  <c r="U47" i="4"/>
  <c r="N47" i="4"/>
  <c r="J47" i="4"/>
  <c r="E47" i="4"/>
  <c r="AA46" i="4"/>
  <c r="U46" i="4"/>
  <c r="N46" i="4"/>
  <c r="J46" i="4"/>
  <c r="G46" i="4"/>
  <c r="R46" i="4" s="1"/>
  <c r="E46" i="4"/>
  <c r="U45" i="4"/>
  <c r="N45" i="4"/>
  <c r="J45" i="4"/>
  <c r="G45" i="4"/>
  <c r="R45" i="4" s="1"/>
  <c r="E45" i="4"/>
  <c r="AA44" i="4"/>
  <c r="U44" i="4"/>
  <c r="N44" i="4"/>
  <c r="J44" i="4"/>
  <c r="E44" i="4"/>
  <c r="AA43" i="4"/>
  <c r="U43" i="4"/>
  <c r="N43" i="4"/>
  <c r="J43" i="4"/>
  <c r="E43" i="4"/>
  <c r="U42" i="4"/>
  <c r="N42" i="4"/>
  <c r="J42" i="4"/>
  <c r="E42" i="4"/>
  <c r="AA41" i="4"/>
  <c r="U41" i="4"/>
  <c r="N41" i="4"/>
  <c r="J41" i="4"/>
  <c r="E41" i="4"/>
  <c r="AA40" i="4"/>
  <c r="U40" i="4"/>
  <c r="N40" i="4"/>
  <c r="J40" i="4"/>
  <c r="E40" i="4"/>
  <c r="AA38" i="4"/>
  <c r="AA37" i="4"/>
  <c r="D36" i="4"/>
  <c r="E36" i="4" s="1"/>
  <c r="AA35" i="4"/>
  <c r="E35" i="4"/>
  <c r="D35" i="4"/>
  <c r="AA34" i="4"/>
  <c r="E33" i="4"/>
  <c r="AA32" i="4"/>
  <c r="U32" i="4"/>
  <c r="J32" i="4"/>
  <c r="G32" i="4"/>
  <c r="R32" i="4" s="1"/>
  <c r="S32" i="4" s="1"/>
  <c r="T32" i="4" s="1"/>
  <c r="E32" i="4"/>
  <c r="AA31" i="4"/>
  <c r="U31" i="4"/>
  <c r="J31" i="4"/>
  <c r="G31" i="4"/>
  <c r="R31" i="4" s="1"/>
  <c r="S31" i="4" s="1"/>
  <c r="T31" i="4" s="1"/>
  <c r="E31" i="4"/>
  <c r="U30" i="4"/>
  <c r="J30" i="4"/>
  <c r="G30" i="4"/>
  <c r="R30" i="4" s="1"/>
  <c r="S30" i="4" s="1"/>
  <c r="T30" i="4" s="1"/>
  <c r="E30" i="4"/>
  <c r="AA29" i="4"/>
  <c r="U29" i="4"/>
  <c r="J29" i="4"/>
  <c r="G29" i="4"/>
  <c r="R29" i="4" s="1"/>
  <c r="S29" i="4" s="1"/>
  <c r="T29" i="4" s="1"/>
  <c r="E29" i="4"/>
  <c r="AA28" i="4"/>
  <c r="U28" i="4"/>
  <c r="J28" i="4"/>
  <c r="G28" i="4"/>
  <c r="R28" i="4" s="1"/>
  <c r="E28" i="4"/>
  <c r="U27" i="4"/>
  <c r="J27" i="4"/>
  <c r="G27" i="4"/>
  <c r="R27" i="4" s="1"/>
  <c r="E27" i="4"/>
  <c r="AA26" i="4"/>
  <c r="U26" i="4"/>
  <c r="R26" i="4"/>
  <c r="J26" i="4"/>
  <c r="G26" i="4"/>
  <c r="E26" i="4"/>
  <c r="AA25" i="4"/>
  <c r="AA23" i="4"/>
  <c r="AA22" i="4"/>
  <c r="D22" i="4"/>
  <c r="E22" i="4" s="1"/>
  <c r="D21" i="4"/>
  <c r="E18" i="4" s="1"/>
  <c r="AA20" i="4"/>
  <c r="AA19" i="4"/>
  <c r="D19" i="4"/>
  <c r="E19" i="4" s="1"/>
  <c r="AA17" i="4"/>
  <c r="AA16" i="4"/>
  <c r="AA14" i="4"/>
  <c r="AA6" i="4"/>
  <c r="C6" i="4"/>
  <c r="C5" i="4"/>
  <c r="AA4" i="4"/>
  <c r="C4" i="4"/>
  <c r="AA3" i="4"/>
  <c r="C2" i="4"/>
  <c r="C18" i="3"/>
  <c r="C14" i="3"/>
  <c r="C12" i="3"/>
  <c r="C7" i="3"/>
  <c r="X32" i="5" l="1"/>
  <c r="T32" i="5"/>
  <c r="AB33" i="5"/>
  <c r="X33" i="5"/>
  <c r="T33" i="5"/>
  <c r="X40" i="5"/>
  <c r="T40" i="5"/>
  <c r="Y40" i="5" s="1"/>
  <c r="Z40" i="5" s="1"/>
  <c r="AR54" i="5"/>
  <c r="AN54" i="5"/>
  <c r="T76" i="5"/>
  <c r="L89" i="5"/>
  <c r="J89" i="5"/>
  <c r="X88" i="5"/>
  <c r="T88" i="5"/>
  <c r="Y88" i="5" s="1"/>
  <c r="Z88" i="5" s="1"/>
  <c r="AB32" i="5"/>
  <c r="X35" i="5"/>
  <c r="AB35" i="5"/>
  <c r="T35" i="5"/>
  <c r="AB36" i="5"/>
  <c r="X36" i="5"/>
  <c r="T36" i="5"/>
  <c r="X39" i="5"/>
  <c r="AL55" i="5"/>
  <c r="X55" i="5"/>
  <c r="T55" i="5"/>
  <c r="X66" i="5"/>
  <c r="T66" i="5"/>
  <c r="AB67" i="5"/>
  <c r="X79" i="5"/>
  <c r="T79" i="5"/>
  <c r="AB80" i="5"/>
  <c r="X87" i="5"/>
  <c r="J41" i="5"/>
  <c r="L41" i="5"/>
  <c r="X34" i="5"/>
  <c r="AL46" i="5"/>
  <c r="T46" i="5"/>
  <c r="AL52" i="5"/>
  <c r="T52" i="5"/>
  <c r="AL56" i="5"/>
  <c r="X56" i="5"/>
  <c r="T56" i="5"/>
  <c r="Y56" i="5" s="1"/>
  <c r="K73" i="5"/>
  <c r="X60" i="5"/>
  <c r="T60" i="5"/>
  <c r="AB61" i="5"/>
  <c r="AB68" i="5"/>
  <c r="X68" i="5"/>
  <c r="T68" i="5"/>
  <c r="AB69" i="5"/>
  <c r="X69" i="5"/>
  <c r="T69" i="5"/>
  <c r="AB79" i="5"/>
  <c r="X81" i="5"/>
  <c r="T81" i="5"/>
  <c r="S26" i="4"/>
  <c r="S27" i="4"/>
  <c r="T27" i="4" s="1"/>
  <c r="S28" i="4"/>
  <c r="T28" i="4" s="1"/>
  <c r="D58" i="5"/>
  <c r="AB58" i="5" s="1"/>
  <c r="X12" i="5"/>
  <c r="T12" i="5"/>
  <c r="AB13" i="5"/>
  <c r="AB14" i="5"/>
  <c r="X13" i="5"/>
  <c r="T13" i="5"/>
  <c r="X14" i="5"/>
  <c r="T14" i="5"/>
  <c r="AB15" i="5"/>
  <c r="X24" i="5"/>
  <c r="T24" i="5"/>
  <c r="Y24" i="5" s="1"/>
  <c r="Z24" i="5" s="1"/>
  <c r="AL44" i="5"/>
  <c r="T44" i="5"/>
  <c r="AL50" i="5"/>
  <c r="T50" i="5"/>
  <c r="AB63" i="5"/>
  <c r="X62" i="5"/>
  <c r="T62" i="5"/>
  <c r="AB64" i="5"/>
  <c r="X63" i="5"/>
  <c r="T63" i="5"/>
  <c r="X71" i="5"/>
  <c r="T71" i="5"/>
  <c r="X72" i="5"/>
  <c r="T72" i="5"/>
  <c r="Y72" i="5" s="1"/>
  <c r="Z72" i="5" s="1"/>
  <c r="M89" i="5"/>
  <c r="AB81" i="5"/>
  <c r="X83" i="5"/>
  <c r="T83" i="5"/>
  <c r="AB84" i="5"/>
  <c r="X84" i="5"/>
  <c r="T84" i="5"/>
  <c r="AB85" i="5"/>
  <c r="X85" i="5"/>
  <c r="T85" i="5"/>
  <c r="X86" i="5"/>
  <c r="T86" i="5"/>
  <c r="Y86" i="5" s="1"/>
  <c r="Z86" i="5" s="1"/>
  <c r="X16" i="5"/>
  <c r="T16" i="5"/>
  <c r="AB17" i="5"/>
  <c r="X17" i="5"/>
  <c r="T17" i="5"/>
  <c r="X18" i="5"/>
  <c r="T18" i="5"/>
  <c r="AB19" i="5"/>
  <c r="X19" i="5"/>
  <c r="T19" i="5"/>
  <c r="AB20" i="5"/>
  <c r="X20" i="5"/>
  <c r="T20" i="5"/>
  <c r="G33" i="4"/>
  <c r="I33" i="4" s="1"/>
  <c r="U22" i="5"/>
  <c r="AA22" i="5" s="1"/>
  <c r="H25" i="5"/>
  <c r="U38" i="5"/>
  <c r="AA38" i="5" s="1"/>
  <c r="G42" i="4"/>
  <c r="R42" i="4" s="1"/>
  <c r="G43" i="4"/>
  <c r="R43" i="4" s="1"/>
  <c r="G48" i="4"/>
  <c r="R48" i="4" s="1"/>
  <c r="G49" i="4"/>
  <c r="R49" i="4" s="1"/>
  <c r="T11" i="5"/>
  <c r="X11" i="5"/>
  <c r="U12" i="5"/>
  <c r="AA12" i="5" s="1"/>
  <c r="U14" i="5"/>
  <c r="AA14" i="5" s="1"/>
  <c r="T15" i="5"/>
  <c r="X15" i="5"/>
  <c r="U18" i="5"/>
  <c r="AA18" i="5" s="1"/>
  <c r="U20" i="5"/>
  <c r="AA20" i="5" s="1"/>
  <c r="T21" i="5"/>
  <c r="X21" i="5"/>
  <c r="AB21" i="5"/>
  <c r="T23" i="5"/>
  <c r="X23" i="5"/>
  <c r="U24" i="5"/>
  <c r="AA24" i="5" s="1"/>
  <c r="T27" i="5"/>
  <c r="X27" i="5"/>
  <c r="U28" i="5"/>
  <c r="AA28" i="5" s="1"/>
  <c r="R29" i="5"/>
  <c r="U30" i="5"/>
  <c r="AA30" i="5" s="1"/>
  <c r="T31" i="5"/>
  <c r="X31" i="5"/>
  <c r="AB31" i="5"/>
  <c r="U34" i="5"/>
  <c r="AA34" i="5" s="1"/>
  <c r="U36" i="5"/>
  <c r="AA36" i="5" s="1"/>
  <c r="T37" i="5"/>
  <c r="X37" i="5"/>
  <c r="T39" i="5"/>
  <c r="Y39" i="5" s="1"/>
  <c r="Z39" i="5" s="1"/>
  <c r="U40" i="5"/>
  <c r="AA40" i="5" s="1"/>
  <c r="T48" i="5"/>
  <c r="T54" i="5"/>
  <c r="Y54" i="5" s="1"/>
  <c r="X54" i="5"/>
  <c r="R59" i="5"/>
  <c r="T61" i="5"/>
  <c r="X61" i="5"/>
  <c r="T65" i="5"/>
  <c r="X65" i="5"/>
  <c r="AB65" i="5"/>
  <c r="T67" i="5"/>
  <c r="X67" i="5"/>
  <c r="H73" i="5"/>
  <c r="T75" i="5"/>
  <c r="R77" i="5"/>
  <c r="T78" i="5"/>
  <c r="X78" i="5"/>
  <c r="T80" i="5"/>
  <c r="X80" i="5"/>
  <c r="T82" i="5"/>
  <c r="X82" i="5"/>
  <c r="U86" i="5"/>
  <c r="AA86" i="5" s="1"/>
  <c r="T87" i="5"/>
  <c r="L11" i="6"/>
  <c r="E17" i="4"/>
  <c r="E21" i="4"/>
  <c r="G44" i="4"/>
  <c r="R44" i="4" s="1"/>
  <c r="G50" i="4"/>
  <c r="R50" i="4" s="1"/>
  <c r="S50" i="4" s="1"/>
  <c r="T50" i="4" s="1"/>
  <c r="U11" i="5"/>
  <c r="AA11" i="5" s="1"/>
  <c r="U15" i="5"/>
  <c r="AA15" i="5" s="1"/>
  <c r="AB16" i="5"/>
  <c r="U21" i="5"/>
  <c r="AA21" i="5" s="1"/>
  <c r="T22" i="5"/>
  <c r="Y22" i="5" s="1"/>
  <c r="Z22" i="5" s="1"/>
  <c r="X22" i="5"/>
  <c r="U23" i="5"/>
  <c r="AA23" i="5" s="1"/>
  <c r="K25" i="5"/>
  <c r="U27" i="5"/>
  <c r="AA27" i="5" s="1"/>
  <c r="U31" i="5"/>
  <c r="AA31" i="5" s="1"/>
  <c r="U37" i="5"/>
  <c r="AA37" i="5" s="1"/>
  <c r="T38" i="5"/>
  <c r="Y38" i="5" s="1"/>
  <c r="Z38" i="5" s="1"/>
  <c r="U39" i="5"/>
  <c r="AA39" i="5" s="1"/>
  <c r="K41" i="5"/>
  <c r="H45" i="5"/>
  <c r="R45" i="5" s="1"/>
  <c r="AL48" i="5"/>
  <c r="H49" i="5"/>
  <c r="R49" i="5" s="1"/>
  <c r="AB49" i="5" s="1"/>
  <c r="H51" i="5"/>
  <c r="R51" i="5" s="1"/>
  <c r="X50" i="5" s="1"/>
  <c r="AB62" i="5"/>
  <c r="I73" i="5"/>
  <c r="M73" i="5"/>
  <c r="U75" i="5"/>
  <c r="AA75" i="5" s="1"/>
  <c r="U80" i="5"/>
  <c r="AA80" i="5" s="1"/>
  <c r="U87" i="5"/>
  <c r="AA87" i="5" s="1"/>
  <c r="K89" i="5"/>
  <c r="F14" i="6"/>
  <c r="H14" i="6" s="1"/>
  <c r="U16" i="5"/>
  <c r="AA16" i="5" s="1"/>
  <c r="U32" i="5"/>
  <c r="AA32" i="5" s="1"/>
  <c r="U76" i="5"/>
  <c r="AA76" i="5" s="1"/>
  <c r="U85" i="5"/>
  <c r="AA85" i="5" s="1"/>
  <c r="G40" i="4"/>
  <c r="G41" i="4"/>
  <c r="R41" i="4" s="1"/>
  <c r="G47" i="4"/>
  <c r="R47" i="4" s="1"/>
  <c r="U13" i="5"/>
  <c r="AA13" i="5" s="1"/>
  <c r="U17" i="5"/>
  <c r="AA17" i="5" s="1"/>
  <c r="I25" i="5"/>
  <c r="T28" i="5"/>
  <c r="U29" i="5"/>
  <c r="AA29" i="5" s="1"/>
  <c r="T30" i="5"/>
  <c r="U33" i="5"/>
  <c r="AA33" i="5" s="1"/>
  <c r="T34" i="5"/>
  <c r="Y34" i="5" s="1"/>
  <c r="Z34" i="5" s="1"/>
  <c r="I41" i="5"/>
  <c r="H43" i="5"/>
  <c r="H47" i="5"/>
  <c r="R47" i="5" s="1"/>
  <c r="H53" i="5"/>
  <c r="R53" i="5" s="1"/>
  <c r="T64" i="5"/>
  <c r="T70" i="5"/>
  <c r="Y70" i="5" s="1"/>
  <c r="Z70" i="5" s="1"/>
  <c r="X70" i="5"/>
  <c r="U77" i="5"/>
  <c r="AA77" i="5" s="1"/>
  <c r="I89" i="5"/>
  <c r="H11" i="6"/>
  <c r="F12" i="6"/>
  <c r="H12" i="6" s="1"/>
  <c r="AB53" i="5" l="1"/>
  <c r="X53" i="5"/>
  <c r="T53" i="5"/>
  <c r="Y53" i="5" s="1"/>
  <c r="Z53" i="5" s="1"/>
  <c r="AL53" i="5"/>
  <c r="S47" i="4"/>
  <c r="T47" i="4" s="1"/>
  <c r="D74" i="5"/>
  <c r="AB74" i="5" s="1"/>
  <c r="L12" i="6"/>
  <c r="AN48" i="5"/>
  <c r="V83" i="5"/>
  <c r="V76" i="5"/>
  <c r="W76" i="5" s="1"/>
  <c r="V80" i="5"/>
  <c r="W80" i="5" s="1"/>
  <c r="V78" i="5"/>
  <c r="W78" i="5" s="1"/>
  <c r="V75" i="5"/>
  <c r="W75" i="5" s="1"/>
  <c r="V84" i="5"/>
  <c r="Y75" i="5"/>
  <c r="Z75" i="5" s="1"/>
  <c r="V77" i="5"/>
  <c r="W77" i="5" s="1"/>
  <c r="Y61" i="5"/>
  <c r="Z61" i="5" s="1"/>
  <c r="X48" i="5"/>
  <c r="Y21" i="5"/>
  <c r="Z21" i="5" s="1"/>
  <c r="Y15" i="5"/>
  <c r="Z15" i="5" s="1"/>
  <c r="D42" i="5"/>
  <c r="AB42" i="5" s="1"/>
  <c r="AV42" i="5" s="1"/>
  <c r="B4" i="11" s="1"/>
  <c r="S43" i="4"/>
  <c r="T43" i="4" s="1"/>
  <c r="Y83" i="5"/>
  <c r="Z83" i="5" s="1"/>
  <c r="Y71" i="5"/>
  <c r="Z71" i="5" s="1"/>
  <c r="AN44" i="5"/>
  <c r="Y14" i="5"/>
  <c r="Z14" i="5" s="1"/>
  <c r="Y12" i="5"/>
  <c r="Z12" i="5" s="1"/>
  <c r="S45" i="4"/>
  <c r="T45" i="4" s="1"/>
  <c r="AB52" i="5"/>
  <c r="AN46" i="5"/>
  <c r="J33" i="4"/>
  <c r="Y79" i="5"/>
  <c r="Z79" i="5" s="1"/>
  <c r="Y35" i="5"/>
  <c r="Z35" i="5" s="1"/>
  <c r="AB77" i="5"/>
  <c r="Y33" i="5"/>
  <c r="Z33" i="5" s="1"/>
  <c r="M13" i="6"/>
  <c r="N13" i="6" s="1"/>
  <c r="M16" i="6"/>
  <c r="M12" i="6"/>
  <c r="M15" i="6"/>
  <c r="M11" i="6"/>
  <c r="N11" i="6" s="1"/>
  <c r="M14" i="6"/>
  <c r="N14" i="6" s="1"/>
  <c r="X47" i="5"/>
  <c r="T47" i="5"/>
  <c r="AB48" i="5"/>
  <c r="AL47" i="5"/>
  <c r="S41" i="4"/>
  <c r="T41" i="4" s="1"/>
  <c r="U83" i="5"/>
  <c r="AA83" i="5" s="1"/>
  <c r="F17" i="6"/>
  <c r="U78" i="5"/>
  <c r="AA78" i="5" s="1"/>
  <c r="AB46" i="5"/>
  <c r="AL45" i="5"/>
  <c r="X45" i="5"/>
  <c r="T45" i="5"/>
  <c r="S44" i="4"/>
  <c r="T44" i="4" s="1"/>
  <c r="Y87" i="5"/>
  <c r="Z87" i="5" s="1"/>
  <c r="Y82" i="5"/>
  <c r="Z82" i="5" s="1"/>
  <c r="Y78" i="5"/>
  <c r="Z78" i="5" s="1"/>
  <c r="J73" i="5"/>
  <c r="L73" i="5"/>
  <c r="U71" i="5"/>
  <c r="AA71" i="5" s="1"/>
  <c r="U69" i="5"/>
  <c r="AA69" i="5" s="1"/>
  <c r="U63" i="5"/>
  <c r="AA63" i="5" s="1"/>
  <c r="U59" i="5"/>
  <c r="AA59" i="5" s="1"/>
  <c r="U72" i="5"/>
  <c r="AA72" i="5" s="1"/>
  <c r="U68" i="5"/>
  <c r="AA68" i="5" s="1"/>
  <c r="U66" i="5"/>
  <c r="AA66" i="5" s="1"/>
  <c r="U62" i="5"/>
  <c r="AA62" i="5" s="1"/>
  <c r="U60" i="5"/>
  <c r="AA60" i="5" s="1"/>
  <c r="X59" i="5"/>
  <c r="T59" i="5"/>
  <c r="U67" i="5"/>
  <c r="AA67" i="5" s="1"/>
  <c r="U65" i="5"/>
  <c r="AA65" i="5" s="1"/>
  <c r="U61" i="5"/>
  <c r="AA61" i="5" s="1"/>
  <c r="U70" i="5"/>
  <c r="AA70" i="5" s="1"/>
  <c r="U64" i="5"/>
  <c r="AA64" i="5" s="1"/>
  <c r="AB30" i="5"/>
  <c r="X29" i="5"/>
  <c r="AB29" i="5"/>
  <c r="T29" i="5"/>
  <c r="Y29" i="5" s="1"/>
  <c r="Z29" i="5" s="1"/>
  <c r="V38" i="5"/>
  <c r="W38" i="5" s="1"/>
  <c r="V37" i="5"/>
  <c r="W37" i="5" s="1"/>
  <c r="V31" i="5"/>
  <c r="W31" i="5" s="1"/>
  <c r="V34" i="5"/>
  <c r="W34" i="5" s="1"/>
  <c r="V30" i="5"/>
  <c r="W30" i="5" s="1"/>
  <c r="V28" i="5"/>
  <c r="W28" i="5" s="1"/>
  <c r="V35" i="5"/>
  <c r="W35" i="5" s="1"/>
  <c r="V33" i="5"/>
  <c r="W33" i="5" s="1"/>
  <c r="V27" i="5"/>
  <c r="W27" i="5" s="1"/>
  <c r="Y23" i="5"/>
  <c r="Z23" i="5" s="1"/>
  <c r="V22" i="5"/>
  <c r="W22" i="5" s="1"/>
  <c r="V16" i="5"/>
  <c r="W16" i="5" s="1"/>
  <c r="V15" i="5"/>
  <c r="W15" i="5" s="1"/>
  <c r="V24" i="5"/>
  <c r="W24" i="5" s="1"/>
  <c r="V20" i="5"/>
  <c r="W20" i="5" s="1"/>
  <c r="V18" i="5"/>
  <c r="W18" i="5" s="1"/>
  <c r="V14" i="5"/>
  <c r="W14" i="5" s="1"/>
  <c r="V12" i="5"/>
  <c r="W12" i="5" s="1"/>
  <c r="Y11" i="5"/>
  <c r="Z11" i="5" s="1"/>
  <c r="V19" i="5"/>
  <c r="W19" i="5" s="1"/>
  <c r="V17" i="5"/>
  <c r="W17" i="5" s="1"/>
  <c r="V13" i="5"/>
  <c r="W13" i="5" s="1"/>
  <c r="V23" i="5"/>
  <c r="W23" i="5" s="1"/>
  <c r="V21" i="5"/>
  <c r="W21" i="5" s="1"/>
  <c r="V11" i="5"/>
  <c r="W11" i="5" s="1"/>
  <c r="D26" i="5"/>
  <c r="AB26" i="5" s="1"/>
  <c r="S42" i="4"/>
  <c r="T42" i="4" s="1"/>
  <c r="Y19" i="5"/>
  <c r="Z19" i="5" s="1"/>
  <c r="Y16" i="5"/>
  <c r="Z16" i="5" s="1"/>
  <c r="Y84" i="5"/>
  <c r="Z84" i="5" s="1"/>
  <c r="AB45" i="5"/>
  <c r="AR56" i="5"/>
  <c r="AN56" i="5"/>
  <c r="AS56" i="5" s="1"/>
  <c r="AV52" i="5"/>
  <c r="AR52" i="5"/>
  <c r="AN52" i="5"/>
  <c r="AB47" i="5"/>
  <c r="U35" i="5"/>
  <c r="AA35" i="5" s="1"/>
  <c r="L14" i="6"/>
  <c r="Y66" i="5"/>
  <c r="Z66" i="5" s="1"/>
  <c r="Y55" i="5"/>
  <c r="Z55" i="5" s="1"/>
  <c r="Y36" i="5"/>
  <c r="Z36" i="5" s="1"/>
  <c r="H33" i="4"/>
  <c r="S46" i="4"/>
  <c r="T46" i="4" s="1"/>
  <c r="J57" i="5"/>
  <c r="H57" i="5"/>
  <c r="R43" i="5"/>
  <c r="K57" i="5"/>
  <c r="Y30" i="5"/>
  <c r="Z30" i="5" s="1"/>
  <c r="G52" i="4"/>
  <c r="N52" i="4" s="1"/>
  <c r="L52" i="4"/>
  <c r="R40" i="4"/>
  <c r="L13" i="6"/>
  <c r="L16" i="6"/>
  <c r="AL51" i="5"/>
  <c r="X51" i="5"/>
  <c r="T51" i="5"/>
  <c r="X77" i="5"/>
  <c r="T77" i="5"/>
  <c r="Y77" i="5" s="1"/>
  <c r="AB78" i="5"/>
  <c r="Y65" i="5"/>
  <c r="Z65" i="5" s="1"/>
  <c r="Y37" i="5"/>
  <c r="Z37" i="5" s="1"/>
  <c r="S49" i="4"/>
  <c r="T49" i="4" s="1"/>
  <c r="Y20" i="5"/>
  <c r="Z20" i="5" s="1"/>
  <c r="Y18" i="5"/>
  <c r="Z18" i="5" s="1"/>
  <c r="Y17" i="5"/>
  <c r="Z17" i="5" s="1"/>
  <c r="Y85" i="5"/>
  <c r="Z85" i="5" s="1"/>
  <c r="Y63" i="5"/>
  <c r="Z63" i="5" s="1"/>
  <c r="Y62" i="5"/>
  <c r="Z62" i="5" s="1"/>
  <c r="AV51" i="5"/>
  <c r="AR50" i="5"/>
  <c r="AN50" i="5"/>
  <c r="X44" i="5"/>
  <c r="Y13" i="5"/>
  <c r="Z13" i="5" s="1"/>
  <c r="Y60" i="5"/>
  <c r="Z60" i="5" s="1"/>
  <c r="Y46" i="5"/>
  <c r="Z46" i="5" s="1"/>
  <c r="U81" i="5"/>
  <c r="AA81" i="5" s="1"/>
  <c r="Y76" i="5"/>
  <c r="U79" i="5"/>
  <c r="AA79" i="5" s="1"/>
  <c r="Y64" i="5"/>
  <c r="Z64" i="5" s="1"/>
  <c r="U88" i="5"/>
  <c r="AA88" i="5" s="1"/>
  <c r="U82" i="5"/>
  <c r="AA82" i="5" s="1"/>
  <c r="AL49" i="5"/>
  <c r="X49" i="5"/>
  <c r="T49" i="5"/>
  <c r="L15" i="6"/>
  <c r="U84" i="5"/>
  <c r="AA84" i="5" s="1"/>
  <c r="Y80" i="5"/>
  <c r="Z80" i="5" s="1"/>
  <c r="X75" i="5"/>
  <c r="Y67" i="5"/>
  <c r="Z67" i="5" s="1"/>
  <c r="Z54" i="5"/>
  <c r="Y31" i="5"/>
  <c r="Z31" i="5" s="1"/>
  <c r="D10" i="6"/>
  <c r="B6" i="11" s="1"/>
  <c r="S48" i="4"/>
  <c r="T48" i="4" s="1"/>
  <c r="L25" i="5"/>
  <c r="J25" i="5"/>
  <c r="AB51" i="5"/>
  <c r="Y44" i="5"/>
  <c r="Z44" i="5" s="1"/>
  <c r="X28" i="5"/>
  <c r="Y81" i="5"/>
  <c r="Z81" i="5" s="1"/>
  <c r="Y69" i="5"/>
  <c r="Z69" i="5" s="1"/>
  <c r="Y68" i="5"/>
  <c r="Z68" i="5" s="1"/>
  <c r="Z56" i="5"/>
  <c r="X52" i="5"/>
  <c r="X46" i="5"/>
  <c r="M25" i="5"/>
  <c r="AR55" i="5"/>
  <c r="AN55" i="5"/>
  <c r="AS55" i="5" s="1"/>
  <c r="AT55" i="5" s="1"/>
  <c r="X76" i="5"/>
  <c r="Y32" i="5"/>
  <c r="Z32" i="5" s="1"/>
  <c r="AV48" i="5" l="1"/>
  <c r="AR47" i="5"/>
  <c r="AN47" i="5"/>
  <c r="N16" i="6"/>
  <c r="AV45" i="5"/>
  <c r="AS54" i="5"/>
  <c r="AT54" i="5" s="1"/>
  <c r="W84" i="5"/>
  <c r="W83" i="5"/>
  <c r="Y49" i="5"/>
  <c r="Z49" i="5" s="1"/>
  <c r="Z76" i="5"/>
  <c r="J52" i="4"/>
  <c r="M52" i="4"/>
  <c r="O52" i="4"/>
  <c r="M57" i="5"/>
  <c r="I57" i="5"/>
  <c r="Y27" i="5"/>
  <c r="Z27" i="5" s="1"/>
  <c r="V36" i="5"/>
  <c r="W36" i="5" s="1"/>
  <c r="V39" i="5"/>
  <c r="W39" i="5" s="1"/>
  <c r="Y47" i="5"/>
  <c r="Z47" i="5" s="1"/>
  <c r="N15" i="6"/>
  <c r="V79" i="5"/>
  <c r="W79" i="5" s="1"/>
  <c r="V86" i="5"/>
  <c r="W86" i="5" s="1"/>
  <c r="V82" i="5"/>
  <c r="W82" i="5" s="1"/>
  <c r="V85" i="5"/>
  <c r="W85" i="5" s="1"/>
  <c r="Y28" i="5"/>
  <c r="Z28" i="5" s="1"/>
  <c r="AR49" i="5"/>
  <c r="AN49" i="5"/>
  <c r="AR46" i="5"/>
  <c r="Y52" i="5"/>
  <c r="Z52" i="5" s="1"/>
  <c r="Y51" i="5"/>
  <c r="Z51" i="5" s="1"/>
  <c r="S40" i="4"/>
  <c r="D10" i="5"/>
  <c r="AB10" i="5" s="1"/>
  <c r="I52" i="4"/>
  <c r="K52" i="4"/>
  <c r="U56" i="5"/>
  <c r="AA56" i="5" s="1"/>
  <c r="U52" i="5"/>
  <c r="AA52" i="5" s="1"/>
  <c r="U50" i="5"/>
  <c r="AA50" i="5" s="1"/>
  <c r="U46" i="5"/>
  <c r="AA46" i="5" s="1"/>
  <c r="U44" i="5"/>
  <c r="AA44" i="5" s="1"/>
  <c r="AL43" i="5"/>
  <c r="X43" i="5"/>
  <c r="T43" i="5"/>
  <c r="U51" i="5"/>
  <c r="AA51" i="5" s="1"/>
  <c r="U49" i="5"/>
  <c r="AA49" i="5" s="1"/>
  <c r="U45" i="5"/>
  <c r="AA45" i="5" s="1"/>
  <c r="U54" i="5"/>
  <c r="AA54" i="5" s="1"/>
  <c r="U48" i="5"/>
  <c r="AA48" i="5" s="1"/>
  <c r="U55" i="5"/>
  <c r="AA55" i="5" s="1"/>
  <c r="U53" i="5"/>
  <c r="AA53" i="5" s="1"/>
  <c r="U47" i="5"/>
  <c r="AA47" i="5" s="1"/>
  <c r="U43" i="5"/>
  <c r="AA43" i="5" s="1"/>
  <c r="Y48" i="5"/>
  <c r="Z48" i="5" s="1"/>
  <c r="AV46" i="5"/>
  <c r="AR45" i="5"/>
  <c r="AN45" i="5"/>
  <c r="AV47" i="5"/>
  <c r="Y50" i="5"/>
  <c r="Z50" i="5" s="1"/>
  <c r="AV49" i="5"/>
  <c r="Z77" i="5"/>
  <c r="AR51" i="5"/>
  <c r="AN51" i="5"/>
  <c r="AS46" i="5" s="1"/>
  <c r="AT46" i="5" s="1"/>
  <c r="H52" i="4"/>
  <c r="L57" i="5"/>
  <c r="AT56" i="5"/>
  <c r="AV58" i="5"/>
  <c r="AL69" i="5" s="1"/>
  <c r="V29" i="5"/>
  <c r="W29" i="5" s="1"/>
  <c r="V40" i="5"/>
  <c r="W40" i="5" s="1"/>
  <c r="V32" i="5"/>
  <c r="W32" i="5" s="1"/>
  <c r="V72" i="5"/>
  <c r="W72" i="5" s="1"/>
  <c r="V68" i="5"/>
  <c r="W68" i="5" s="1"/>
  <c r="V66" i="5"/>
  <c r="W66" i="5" s="1"/>
  <c r="V62" i="5"/>
  <c r="W62" i="5" s="1"/>
  <c r="V60" i="5"/>
  <c r="W60" i="5" s="1"/>
  <c r="Y59" i="5"/>
  <c r="Z59" i="5" s="1"/>
  <c r="V67" i="5"/>
  <c r="W67" i="5" s="1"/>
  <c r="V65" i="5"/>
  <c r="W65" i="5" s="1"/>
  <c r="V61" i="5"/>
  <c r="W61" i="5" s="1"/>
  <c r="V70" i="5"/>
  <c r="W70" i="5" s="1"/>
  <c r="V64" i="5"/>
  <c r="W64" i="5" s="1"/>
  <c r="V71" i="5"/>
  <c r="W71" i="5" s="1"/>
  <c r="V69" i="5"/>
  <c r="W69" i="5" s="1"/>
  <c r="V63" i="5"/>
  <c r="W63" i="5" s="1"/>
  <c r="V59" i="5"/>
  <c r="W59" i="5" s="1"/>
  <c r="Y45" i="5"/>
  <c r="Z45" i="5" s="1"/>
  <c r="N12" i="6"/>
  <c r="AR44" i="5"/>
  <c r="V81" i="5"/>
  <c r="W81" i="5" s="1"/>
  <c r="V87" i="5"/>
  <c r="W87" i="5" s="1"/>
  <c r="V88" i="5"/>
  <c r="W88" i="5" s="1"/>
  <c r="AR48" i="5"/>
  <c r="AV53" i="5"/>
  <c r="AR53" i="5"/>
  <c r="AN53" i="5"/>
  <c r="AS53" i="5" s="1"/>
  <c r="AT53" i="5" s="1"/>
  <c r="AM69" i="5" l="1"/>
  <c r="AN69" i="5" s="1"/>
  <c r="AL64" i="5"/>
  <c r="AL60" i="5"/>
  <c r="AL65" i="5"/>
  <c r="V51" i="5"/>
  <c r="W51" i="5" s="1"/>
  <c r="V49" i="5"/>
  <c r="W49" i="5" s="1"/>
  <c r="V45" i="5"/>
  <c r="W45" i="5" s="1"/>
  <c r="V54" i="5"/>
  <c r="W54" i="5" s="1"/>
  <c r="V48" i="5"/>
  <c r="W48" i="5" s="1"/>
  <c r="V55" i="5"/>
  <c r="W55" i="5" s="1"/>
  <c r="V53" i="5"/>
  <c r="W53" i="5" s="1"/>
  <c r="V47" i="5"/>
  <c r="W47" i="5" s="1"/>
  <c r="V43" i="5"/>
  <c r="W43" i="5" s="1"/>
  <c r="V56" i="5"/>
  <c r="W56" i="5" s="1"/>
  <c r="V52" i="5"/>
  <c r="W52" i="5" s="1"/>
  <c r="V50" i="5"/>
  <c r="W50" i="5" s="1"/>
  <c r="V46" i="5"/>
  <c r="W46" i="5" s="1"/>
  <c r="V44" i="5"/>
  <c r="W44" i="5" s="1"/>
  <c r="Y43" i="5"/>
  <c r="Z43" i="5" s="1"/>
  <c r="AL63" i="5"/>
  <c r="AL72" i="5"/>
  <c r="B5" i="11"/>
  <c r="AL70" i="5"/>
  <c r="AV69" i="5" s="1"/>
  <c r="AS45" i="5"/>
  <c r="AT45" i="5" s="1"/>
  <c r="AS44" i="5"/>
  <c r="AT44" i="5" s="1"/>
  <c r="AL61" i="5"/>
  <c r="AL62" i="5"/>
  <c r="AL67" i="5"/>
  <c r="AL71" i="5"/>
  <c r="AL68" i="5"/>
  <c r="AS51" i="5"/>
  <c r="AT51" i="5" s="1"/>
  <c r="AL59" i="5"/>
  <c r="AO54" i="5"/>
  <c r="AU54" i="5" s="1"/>
  <c r="AO53" i="5"/>
  <c r="AU53" i="5" s="1"/>
  <c r="AO47" i="5"/>
  <c r="AU47" i="5" s="1"/>
  <c r="AO55" i="5"/>
  <c r="AU55" i="5" s="1"/>
  <c r="AO52" i="5"/>
  <c r="AU52" i="5" s="1"/>
  <c r="AO56" i="5"/>
  <c r="AU56" i="5" s="1"/>
  <c r="AO51" i="5"/>
  <c r="AU51" i="5" s="1"/>
  <c r="AO50" i="5"/>
  <c r="AU50" i="5" s="1"/>
  <c r="AO49" i="5"/>
  <c r="AU49" i="5" s="1"/>
  <c r="AO45" i="5"/>
  <c r="AU45" i="5" s="1"/>
  <c r="AO44" i="5"/>
  <c r="AU44" i="5" s="1"/>
  <c r="AR43" i="5"/>
  <c r="AN43" i="5"/>
  <c r="AO48" i="5"/>
  <c r="AU48" i="5" s="1"/>
  <c r="AO46" i="5"/>
  <c r="AU46" i="5" s="1"/>
  <c r="AO43" i="5"/>
  <c r="AU43" i="5" s="1"/>
  <c r="AV26" i="5"/>
  <c r="B3" i="11" s="1"/>
  <c r="AV10" i="5"/>
  <c r="AL23" i="5" s="1"/>
  <c r="AL11" i="5"/>
  <c r="AL39" i="5"/>
  <c r="AM39" i="5" s="1"/>
  <c r="AL13" i="5"/>
  <c r="AL38" i="5"/>
  <c r="AL17" i="5"/>
  <c r="AM11" i="5"/>
  <c r="AL30" i="5"/>
  <c r="AL29" i="5"/>
  <c r="AM29" i="5" s="1"/>
  <c r="AL24" i="5"/>
  <c r="AL18" i="5"/>
  <c r="AS52" i="5"/>
  <c r="AT52" i="5" s="1"/>
  <c r="AS49" i="5"/>
  <c r="AT49" i="5" s="1"/>
  <c r="AS48" i="5"/>
  <c r="AT48" i="5" s="1"/>
  <c r="AL66" i="5"/>
  <c r="AS50" i="5"/>
  <c r="AT50" i="5" s="1"/>
  <c r="AS47" i="5"/>
  <c r="AT47" i="5" s="1"/>
  <c r="AL37" i="5" l="1"/>
  <c r="AL27" i="5"/>
  <c r="AM27" i="5" s="1"/>
  <c r="AL32" i="5"/>
  <c r="AM32" i="5" s="1"/>
  <c r="AL34" i="5"/>
  <c r="AM34" i="5" s="1"/>
  <c r="AL35" i="5"/>
  <c r="AM35" i="5" s="1"/>
  <c r="AL28" i="5"/>
  <c r="AM28" i="5" s="1"/>
  <c r="AL33" i="5"/>
  <c r="AM33" i="5" s="1"/>
  <c r="AN33" i="5" s="1"/>
  <c r="AL40" i="5"/>
  <c r="AL31" i="5"/>
  <c r="AL36" i="5"/>
  <c r="AM36" i="5" s="1"/>
  <c r="AR23" i="5"/>
  <c r="AM23" i="5"/>
  <c r="AN23" i="5" s="1"/>
  <c r="AR24" i="5"/>
  <c r="AN24" i="5"/>
  <c r="AS24" i="5" s="1"/>
  <c r="AT24" i="5" s="1"/>
  <c r="AR40" i="5"/>
  <c r="AV32" i="5"/>
  <c r="AO11" i="5"/>
  <c r="AU11" i="5" s="1"/>
  <c r="AN11" i="5"/>
  <c r="AM13" i="5"/>
  <c r="AN13" i="5" s="1"/>
  <c r="AV68" i="5"/>
  <c r="AR68" i="5"/>
  <c r="AN68" i="5"/>
  <c r="AM68" i="5"/>
  <c r="AR72" i="5"/>
  <c r="AM72" i="5"/>
  <c r="AN72" i="5" s="1"/>
  <c r="AS72" i="5" s="1"/>
  <c r="AT72" i="5" s="1"/>
  <c r="AL15" i="5"/>
  <c r="AV37" i="5"/>
  <c r="AN37" i="5"/>
  <c r="AV31" i="5"/>
  <c r="AL20" i="5"/>
  <c r="AN39" i="5"/>
  <c r="AR39" i="5"/>
  <c r="AV36" i="5"/>
  <c r="AN36" i="5"/>
  <c r="AL16" i="5"/>
  <c r="AV29" i="5"/>
  <c r="AN28" i="5"/>
  <c r="B7" i="11"/>
  <c r="D7" i="11" s="1"/>
  <c r="E7" i="11"/>
  <c r="AP55" i="5"/>
  <c r="AQ55" i="5" s="1"/>
  <c r="AP52" i="5"/>
  <c r="AQ52" i="5" s="1"/>
  <c r="AP46" i="5"/>
  <c r="AQ46" i="5" s="1"/>
  <c r="AP43" i="5"/>
  <c r="AQ43" i="5" s="1"/>
  <c r="AP56" i="5"/>
  <c r="AQ56" i="5" s="1"/>
  <c r="AP51" i="5"/>
  <c r="AQ51" i="5" s="1"/>
  <c r="AP50" i="5"/>
  <c r="AQ50" i="5" s="1"/>
  <c r="AP49" i="5"/>
  <c r="AQ49" i="5" s="1"/>
  <c r="AP45" i="5"/>
  <c r="AQ45" i="5" s="1"/>
  <c r="AP44" i="5"/>
  <c r="AQ44" i="5" s="1"/>
  <c r="AP48" i="5"/>
  <c r="AQ48" i="5" s="1"/>
  <c r="AP54" i="5"/>
  <c r="AQ54" i="5" s="1"/>
  <c r="AP53" i="5"/>
  <c r="AQ53" i="5" s="1"/>
  <c r="AP47" i="5"/>
  <c r="AQ47" i="5" s="1"/>
  <c r="AS43" i="5"/>
  <c r="AT43" i="5" s="1"/>
  <c r="AR71" i="5"/>
  <c r="AM71" i="5"/>
  <c r="AN71" i="5" s="1"/>
  <c r="AS71" i="5" s="1"/>
  <c r="AT71" i="5" s="1"/>
  <c r="AV64" i="5"/>
  <c r="AR63" i="5"/>
  <c r="AM63" i="5"/>
  <c r="AN63" i="5" s="1"/>
  <c r="AR65" i="5"/>
  <c r="AM65" i="5"/>
  <c r="AN65" i="5" s="1"/>
  <c r="AV33" i="5"/>
  <c r="AV30" i="5"/>
  <c r="AR29" i="5"/>
  <c r="AN29" i="5"/>
  <c r="AL12" i="5"/>
  <c r="AO39" i="5"/>
  <c r="AU39" i="5" s="1"/>
  <c r="AO30" i="5"/>
  <c r="AU30" i="5" s="1"/>
  <c r="AO27" i="5"/>
  <c r="AU27" i="5" s="1"/>
  <c r="AO40" i="5"/>
  <c r="AU40" i="5" s="1"/>
  <c r="AO33" i="5"/>
  <c r="AU33" i="5" s="1"/>
  <c r="AO28" i="5"/>
  <c r="AU28" i="5" s="1"/>
  <c r="AO37" i="5"/>
  <c r="AU37" i="5" s="1"/>
  <c r="AO31" i="5"/>
  <c r="AU31" i="5" s="1"/>
  <c r="AO29" i="5"/>
  <c r="AU29" i="5" s="1"/>
  <c r="AN27" i="5"/>
  <c r="AL14" i="5"/>
  <c r="AO64" i="5"/>
  <c r="AU64" i="5" s="1"/>
  <c r="AO70" i="5"/>
  <c r="AU70" i="5" s="1"/>
  <c r="AO69" i="5"/>
  <c r="AU69" i="5" s="1"/>
  <c r="AO63" i="5"/>
  <c r="AU63" i="5" s="1"/>
  <c r="AO71" i="5"/>
  <c r="AU71" i="5" s="1"/>
  <c r="AO68" i="5"/>
  <c r="AU68" i="5" s="1"/>
  <c r="AO62" i="5"/>
  <c r="AU62" i="5" s="1"/>
  <c r="AO59" i="5"/>
  <c r="AU59" i="5" s="1"/>
  <c r="AO72" i="5"/>
  <c r="AU72" i="5" s="1"/>
  <c r="AO67" i="5"/>
  <c r="AU67" i="5" s="1"/>
  <c r="AO66" i="5"/>
  <c r="AU66" i="5" s="1"/>
  <c r="AO65" i="5"/>
  <c r="AU65" i="5" s="1"/>
  <c r="AO61" i="5"/>
  <c r="AU61" i="5" s="1"/>
  <c r="AO60" i="5"/>
  <c r="AU60" i="5" s="1"/>
  <c r="AR59" i="5"/>
  <c r="AM59" i="5"/>
  <c r="AN59" i="5" s="1"/>
  <c r="AR67" i="5"/>
  <c r="AM67" i="5"/>
  <c r="AN67" i="5" s="1"/>
  <c r="AR61" i="5"/>
  <c r="AV62" i="5"/>
  <c r="AM61" i="5"/>
  <c r="AN61" i="5" s="1"/>
  <c r="AR70" i="5"/>
  <c r="AN70" i="5"/>
  <c r="AM70" i="5"/>
  <c r="AV61" i="5"/>
  <c r="AR60" i="5"/>
  <c r="AM60" i="5"/>
  <c r="AN60" i="5" s="1"/>
  <c r="AV67" i="5"/>
  <c r="AR66" i="5"/>
  <c r="AM66" i="5"/>
  <c r="AN66" i="5" s="1"/>
  <c r="AM18" i="5"/>
  <c r="AN18" i="5" s="1"/>
  <c r="AM24" i="5"/>
  <c r="AM31" i="5"/>
  <c r="AN31" i="5" s="1"/>
  <c r="AL21" i="5"/>
  <c r="AL19" i="5"/>
  <c r="AL22" i="5"/>
  <c r="AN35" i="5"/>
  <c r="AM37" i="5"/>
  <c r="AM17" i="5"/>
  <c r="AN17" i="5" s="1"/>
  <c r="AM30" i="5"/>
  <c r="AN30" i="5" s="1"/>
  <c r="AM38" i="5"/>
  <c r="AN38" i="5" s="1"/>
  <c r="AV63" i="5"/>
  <c r="AR62" i="5"/>
  <c r="AM62" i="5"/>
  <c r="AN62" i="5" s="1"/>
  <c r="AV65" i="5"/>
  <c r="AR64" i="5"/>
  <c r="AM64" i="5"/>
  <c r="AN64" i="5" s="1"/>
  <c r="AR69" i="5"/>
  <c r="AN40" i="5" l="1"/>
  <c r="AS40" i="5" s="1"/>
  <c r="AT40" i="5" s="1"/>
  <c r="AR35" i="5"/>
  <c r="AO38" i="5"/>
  <c r="AU38" i="5" s="1"/>
  <c r="AO14" i="5"/>
  <c r="AU14" i="5" s="1"/>
  <c r="AR37" i="5"/>
  <c r="AR31" i="5"/>
  <c r="AS23" i="5"/>
  <c r="AT23" i="5" s="1"/>
  <c r="AS67" i="5"/>
  <c r="AT67" i="5" s="1"/>
  <c r="AO32" i="5"/>
  <c r="AU32" i="5" s="1"/>
  <c r="AO34" i="5"/>
  <c r="AU34" i="5" s="1"/>
  <c r="AR38" i="5"/>
  <c r="AN32" i="5"/>
  <c r="AR28" i="5"/>
  <c r="AR36" i="5"/>
  <c r="AR34" i="5"/>
  <c r="AS62" i="5"/>
  <c r="AT62" i="5" s="1"/>
  <c r="AR13" i="5"/>
  <c r="AN34" i="5"/>
  <c r="AS32" i="5" s="1"/>
  <c r="AT32" i="5" s="1"/>
  <c r="AR33" i="5"/>
  <c r="AM40" i="5"/>
  <c r="AS70" i="5"/>
  <c r="AT70" i="5" s="1"/>
  <c r="AR27" i="5"/>
  <c r="AO35" i="5"/>
  <c r="AU35" i="5" s="1"/>
  <c r="AO36" i="5"/>
  <c r="AU36" i="5" s="1"/>
  <c r="AR32" i="5"/>
  <c r="AS63" i="5"/>
  <c r="AT63" i="5" s="1"/>
  <c r="AR30" i="5"/>
  <c r="AV35" i="5"/>
  <c r="AP70" i="5"/>
  <c r="AQ70" i="5" s="1"/>
  <c r="AP69" i="5"/>
  <c r="AQ69" i="5" s="1"/>
  <c r="AP63" i="5"/>
  <c r="AQ63" i="5" s="1"/>
  <c r="AP71" i="5"/>
  <c r="AQ71" i="5" s="1"/>
  <c r="AP68" i="5"/>
  <c r="AQ68" i="5" s="1"/>
  <c r="AP62" i="5"/>
  <c r="AQ62" i="5" s="1"/>
  <c r="AP59" i="5"/>
  <c r="AQ59" i="5" s="1"/>
  <c r="AP72" i="5"/>
  <c r="AQ72" i="5" s="1"/>
  <c r="AP67" i="5"/>
  <c r="AQ67" i="5" s="1"/>
  <c r="AP66" i="5"/>
  <c r="AQ66" i="5" s="1"/>
  <c r="AP65" i="5"/>
  <c r="AQ65" i="5" s="1"/>
  <c r="AP61" i="5"/>
  <c r="AQ61" i="5" s="1"/>
  <c r="AP60" i="5"/>
  <c r="AQ60" i="5" s="1"/>
  <c r="AS59" i="5"/>
  <c r="AT59" i="5" s="1"/>
  <c r="AP64" i="5"/>
  <c r="AQ64" i="5" s="1"/>
  <c r="AS60" i="5"/>
  <c r="AT60" i="5" s="1"/>
  <c r="AS31" i="5"/>
  <c r="AT31" i="5" s="1"/>
  <c r="AS65" i="5"/>
  <c r="AT65" i="5" s="1"/>
  <c r="AS64" i="5"/>
  <c r="AT64" i="5" s="1"/>
  <c r="AR19" i="5"/>
  <c r="AN19" i="5"/>
  <c r="AM19" i="5"/>
  <c r="AR11" i="5"/>
  <c r="AO24" i="5"/>
  <c r="AU24" i="5" s="1"/>
  <c r="AO16" i="5"/>
  <c r="AU16" i="5" s="1"/>
  <c r="AV21" i="5"/>
  <c r="AR21" i="5"/>
  <c r="AM21" i="5"/>
  <c r="AN21" i="5" s="1"/>
  <c r="AS69" i="5"/>
  <c r="AT69" i="5" s="1"/>
  <c r="AV15" i="5"/>
  <c r="AR14" i="5"/>
  <c r="AM14" i="5"/>
  <c r="AN14" i="5" s="1"/>
  <c r="AV17" i="5"/>
  <c r="AR16" i="5"/>
  <c r="AM16" i="5"/>
  <c r="AN16" i="5" s="1"/>
  <c r="AO12" i="5"/>
  <c r="AU12" i="5" s="1"/>
  <c r="AO15" i="5"/>
  <c r="AU15" i="5" s="1"/>
  <c r="AP11" i="5"/>
  <c r="AQ11" i="5" s="1"/>
  <c r="AV14" i="5"/>
  <c r="AR18" i="5"/>
  <c r="AR22" i="5"/>
  <c r="AM22" i="5"/>
  <c r="AN22" i="5" s="1"/>
  <c r="AS22" i="5" s="1"/>
  <c r="AS66" i="5"/>
  <c r="AT66" i="5" s="1"/>
  <c r="AS61" i="5"/>
  <c r="AT61" i="5" s="1"/>
  <c r="AP35" i="5"/>
  <c r="AQ35" i="5" s="1"/>
  <c r="AP33" i="5"/>
  <c r="AQ33" i="5" s="1"/>
  <c r="AP29" i="5"/>
  <c r="AQ29" i="5" s="1"/>
  <c r="AP28" i="5"/>
  <c r="AQ28" i="5" s="1"/>
  <c r="AP31" i="5"/>
  <c r="AQ31" i="5" s="1"/>
  <c r="AP30" i="5"/>
  <c r="AQ30" i="5" s="1"/>
  <c r="AP27" i="5"/>
  <c r="AQ27" i="5" s="1"/>
  <c r="AP32" i="5"/>
  <c r="AV13" i="5"/>
  <c r="AR12" i="5"/>
  <c r="AN12" i="5"/>
  <c r="AM12" i="5"/>
  <c r="AS28" i="5"/>
  <c r="AT28" i="5" s="1"/>
  <c r="AR15" i="5"/>
  <c r="AV16" i="5"/>
  <c r="AM15" i="5"/>
  <c r="AN15" i="5" s="1"/>
  <c r="AS68" i="5"/>
  <c r="AT68" i="5" s="1"/>
  <c r="AO13" i="5"/>
  <c r="AU13" i="5" s="1"/>
  <c r="AO21" i="5"/>
  <c r="AU21" i="5" s="1"/>
  <c r="AO17" i="5"/>
  <c r="AU17" i="5" s="1"/>
  <c r="AO20" i="5"/>
  <c r="AU20" i="5" s="1"/>
  <c r="AV19" i="5"/>
  <c r="AR20" i="5"/>
  <c r="AV20" i="5"/>
  <c r="AM20" i="5"/>
  <c r="AN20" i="5" s="1"/>
  <c r="AS34" i="5"/>
  <c r="AT34" i="5" s="1"/>
  <c r="AO18" i="5"/>
  <c r="AU18" i="5" s="1"/>
  <c r="AO22" i="5"/>
  <c r="AU22" i="5" s="1"/>
  <c r="AO19" i="5"/>
  <c r="AU19" i="5" s="1"/>
  <c r="AO23" i="5"/>
  <c r="AU23" i="5" s="1"/>
  <c r="AR17" i="5"/>
  <c r="AS20" i="5" l="1"/>
  <c r="AT20" i="5" s="1"/>
  <c r="AS33" i="5"/>
  <c r="AT33" i="5" s="1"/>
  <c r="AP37" i="5"/>
  <c r="AQ37" i="5" s="1"/>
  <c r="AP40" i="5"/>
  <c r="AQ40" i="5" s="1"/>
  <c r="AS39" i="5"/>
  <c r="AT39" i="5" s="1"/>
  <c r="AS37" i="5"/>
  <c r="AT37" i="5" s="1"/>
  <c r="AP36" i="5"/>
  <c r="AQ36" i="5" s="1"/>
  <c r="AP38" i="5"/>
  <c r="AQ38" i="5" s="1"/>
  <c r="AS35" i="5"/>
  <c r="AT35" i="5" s="1"/>
  <c r="AS30" i="5"/>
  <c r="AT30" i="5" s="1"/>
  <c r="AS15" i="5"/>
  <c r="AT15" i="5" s="1"/>
  <c r="AS36" i="5"/>
  <c r="AT36" i="5" s="1"/>
  <c r="AQ32" i="5"/>
  <c r="AP39" i="5"/>
  <c r="AQ39" i="5" s="1"/>
  <c r="AS27" i="5"/>
  <c r="AT27" i="5" s="1"/>
  <c r="AP34" i="5"/>
  <c r="AQ34" i="5" s="1"/>
  <c r="AT22" i="5"/>
  <c r="AS29" i="5"/>
  <c r="AT29" i="5" s="1"/>
  <c r="AS38" i="5"/>
  <c r="AT38" i="5" s="1"/>
  <c r="AS14" i="5"/>
  <c r="AT14" i="5" s="1"/>
  <c r="AS13" i="5"/>
  <c r="AT13" i="5" s="1"/>
  <c r="AS16" i="5"/>
  <c r="AT16" i="5" s="1"/>
  <c r="AS12" i="5"/>
  <c r="AT12" i="5" s="1"/>
  <c r="AP15" i="5"/>
  <c r="AQ15" i="5" s="1"/>
  <c r="AP12" i="5"/>
  <c r="AQ12" i="5" s="1"/>
  <c r="AP19" i="5"/>
  <c r="AQ19" i="5" s="1"/>
  <c r="AS21" i="5"/>
  <c r="AT21" i="5" s="1"/>
  <c r="AP14" i="5"/>
  <c r="AQ14" i="5" s="1"/>
  <c r="AP21" i="5"/>
  <c r="AQ21" i="5" s="1"/>
  <c r="AP13" i="5"/>
  <c r="AQ13" i="5" s="1"/>
  <c r="AP24" i="5"/>
  <c r="AQ24" i="5" s="1"/>
  <c r="AP20" i="5"/>
  <c r="AQ20" i="5" s="1"/>
  <c r="AP22" i="5"/>
  <c r="AQ22" i="5" s="1"/>
  <c r="AP17" i="5"/>
  <c r="AQ17" i="5" s="1"/>
  <c r="AS19" i="5"/>
  <c r="AT19" i="5" s="1"/>
  <c r="AP16" i="5"/>
  <c r="AQ16" i="5" s="1"/>
  <c r="AP23" i="5"/>
  <c r="AQ23" i="5" s="1"/>
  <c r="AS11" i="5"/>
  <c r="AT11" i="5" s="1"/>
  <c r="AP18" i="5"/>
  <c r="AQ18" i="5" s="1"/>
  <c r="AS17" i="5"/>
  <c r="AT17" i="5" s="1"/>
  <c r="AS18" i="5"/>
  <c r="AT18" i="5" s="1"/>
</calcChain>
</file>

<file path=xl/comments1.xml><?xml version="1.0" encoding="utf-8"?>
<comments xmlns="http://schemas.openxmlformats.org/spreadsheetml/2006/main">
  <authors>
    <author>Enkhtuvshin Bandikhuu</author>
  </authors>
  <commentList>
    <comment ref="I11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үр дүн байхгүй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үр пүн байхгүй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17.34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25.12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10.03</t>
        </r>
      </text>
    </comment>
    <comment ref="I77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14.02</t>
        </r>
      </text>
    </comment>
    <comment ref="I78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11.59
</t>
        </r>
      </text>
    </comment>
    <comment ref="I81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8.82
</t>
        </r>
      </text>
    </comment>
  </commentList>
</comments>
</file>

<file path=xl/comments2.xml><?xml version="1.0" encoding="utf-8"?>
<comments xmlns="http://schemas.openxmlformats.org/spreadsheetml/2006/main">
  <authors>
    <author>Enkhtuvshin Bandikhuu</author>
  </authors>
  <commentList>
    <comment ref="G12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14.91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13.21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үр дүн байхгүй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74.65</t>
        </r>
      </text>
    </comment>
    <comment ref="J15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20.75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62.93</t>
        </r>
      </text>
    </comment>
    <comment ref="J16" authorId="0" shapeId="0">
      <text>
        <r>
          <rPr>
            <b/>
            <sz val="9"/>
            <color indexed="81"/>
            <rFont val="Tahoma"/>
            <family val="2"/>
          </rPr>
          <t>Enkhtuvshin Bandikhuu:</t>
        </r>
        <r>
          <rPr>
            <sz val="9"/>
            <color indexed="81"/>
            <rFont val="Tahoma"/>
            <family val="2"/>
          </rPr>
          <t xml:space="preserve">
үр дүн байхгүй</t>
        </r>
      </text>
    </comment>
  </commentList>
</comments>
</file>

<file path=xl/comments3.xml><?xml version="1.0" encoding="utf-8"?>
<comments xmlns="http://schemas.openxmlformats.org/spreadsheetml/2006/main">
  <authors>
    <author>Dolgor Daalkhai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insert it from Float Sink sheet 
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insert it from float sink sheet 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Insert it from Float sink sheet 
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Insert it from Froth flotation sheet 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Insert it from Froth flotation sheet 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Insert it from Froth flotation sheet </t>
        </r>
      </text>
    </comment>
  </commentList>
</comments>
</file>

<file path=xl/sharedStrings.xml><?xml version="1.0" encoding="utf-8"?>
<sst xmlns="http://schemas.openxmlformats.org/spreadsheetml/2006/main" count="369" uniqueCount="196">
  <si>
    <t>Washability test Flowchart</t>
  </si>
  <si>
    <t xml:space="preserve">1/8 шинжилгээнд </t>
  </si>
  <si>
    <t xml:space="preserve">Нойтон тамблер </t>
  </si>
  <si>
    <t xml:space="preserve">+0.5мм </t>
  </si>
  <si>
    <t xml:space="preserve">-0.5 мм </t>
  </si>
  <si>
    <t xml:space="preserve">1/10 шинжилгээнд </t>
  </si>
  <si>
    <t>9/10 Float &amp; Sink</t>
  </si>
  <si>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</si>
  <si>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</si>
  <si>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</si>
  <si>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</si>
  <si>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</si>
  <si>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</si>
  <si>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</si>
  <si>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</si>
  <si>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</si>
  <si>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</si>
  <si>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</si>
  <si>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</si>
  <si>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</si>
  <si>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</si>
  <si>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</si>
  <si>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TRD </t>
  </si>
  <si>
    <t xml:space="preserve">Petrograph </t>
  </si>
  <si>
    <t>Mean Maximum Reflactance (RoMax )</t>
  </si>
  <si>
    <t xml:space="preserve">Random Reflactance </t>
  </si>
  <si>
    <t xml:space="preserve">Vitrinite </t>
  </si>
  <si>
    <t xml:space="preserve">Liptinite </t>
  </si>
  <si>
    <t xml:space="preserve">Inertinite </t>
  </si>
  <si>
    <t xml:space="preserve">Dry and Wet Sizing </t>
  </si>
  <si>
    <r>
      <t xml:space="preserve">Жингээр унагах туршилтын дараах шигшилт: </t>
    </r>
    <r>
      <rPr>
        <i/>
        <sz val="11"/>
        <color theme="1"/>
        <rFont val="0 Arial "/>
        <family val="2"/>
        <charset val="204"/>
      </rPr>
      <t xml:space="preserve">2 метр, 15 удаа </t>
    </r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</si>
  <si>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</si>
  <si>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</si>
  <si>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</si>
  <si>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</si>
  <si>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</si>
  <si>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</si>
  <si>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</si>
  <si>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</si>
  <si>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</si>
  <si>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</si>
  <si>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</si>
  <si>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</si>
  <si>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</si>
  <si>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</si>
  <si>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</si>
  <si>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</si>
  <si>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</si>
  <si>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</si>
  <si>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</si>
  <si>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</si>
  <si>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</si>
  <si>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</si>
  <si>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</si>
  <si>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</si>
  <si>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</si>
  <si>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</si>
  <si>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</si>
  <si>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</si>
  <si>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</si>
  <si>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</si>
  <si>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</si>
  <si>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</si>
  <si>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</si>
  <si>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</si>
  <si>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</si>
  <si>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</si>
  <si>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</si>
  <si>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</si>
  <si>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</si>
  <si>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Ash, dry </t>
  </si>
  <si>
    <t xml:space="preserve">IM, </t>
  </si>
  <si>
    <t xml:space="preserve">Vol, % ad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</si>
  <si>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</si>
  <si>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</si>
  <si>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</si>
  <si>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</si>
  <si>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</si>
  <si>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</si>
  <si>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</si>
  <si>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</si>
  <si>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</si>
  <si>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</si>
  <si>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</si>
  <si>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</si>
  <si>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</si>
  <si>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</si>
  <si>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</si>
  <si>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</si>
  <si>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</si>
  <si>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</si>
  <si>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</si>
  <si>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-0.25</t>
  </si>
  <si>
    <t>+0</t>
  </si>
  <si>
    <t>C1</t>
  </si>
  <si>
    <t>C2</t>
  </si>
  <si>
    <t>C3</t>
  </si>
  <si>
    <t>C4</t>
  </si>
  <si>
    <t>T1</t>
  </si>
  <si>
    <t>T2</t>
  </si>
  <si>
    <t xml:space="preserve">Sample Name_Composite Product </t>
  </si>
  <si>
    <t>1/10 For analysis.</t>
  </si>
  <si>
    <t>1/10 For analysis</t>
  </si>
  <si>
    <t>+0.5mm</t>
  </si>
  <si>
    <t>-0.5 mm</t>
  </si>
  <si>
    <t>Wet tumbler</t>
  </si>
  <si>
    <t>1/8 For analysis</t>
  </si>
  <si>
    <t>Version 2</t>
  </si>
  <si>
    <t>Washability test Flowchart (In-Pt sample)</t>
  </si>
  <si>
    <t>Ash, d %</t>
  </si>
  <si>
    <t>Vol, daf, %</t>
  </si>
  <si>
    <t>Sulphur, d %</t>
  </si>
  <si>
    <t xml:space="preserve">Mass, % exc.loss  </t>
  </si>
  <si>
    <t xml:space="preserve">Vol, % daf </t>
  </si>
  <si>
    <t xml:space="preserve">Girdlines </t>
  </si>
  <si>
    <t xml:space="preserve">MinSize </t>
  </si>
  <si>
    <t xml:space="preserve">MaxSize </t>
  </si>
  <si>
    <t xml:space="preserve">Size, mm </t>
  </si>
  <si>
    <t>Passing, %</t>
  </si>
  <si>
    <t xml:space="preserve">Cumulative </t>
  </si>
  <si>
    <t>ln(-ln(1-y/100))</t>
  </si>
  <si>
    <t xml:space="preserve">ln X </t>
  </si>
  <si>
    <t>n/a</t>
  </si>
  <si>
    <t xml:space="preserve">After Dry Tumbler </t>
  </si>
  <si>
    <t xml:space="preserve">After Wet Tumbler </t>
  </si>
  <si>
    <t xml:space="preserve">Ash, ad </t>
  </si>
  <si>
    <t xml:space="preserve">Mass, </t>
  </si>
  <si>
    <t xml:space="preserve">Fractional </t>
  </si>
  <si>
    <t xml:space="preserve">-50mm+16mm </t>
  </si>
  <si>
    <t xml:space="preserve">Q. of Mass, </t>
  </si>
  <si>
    <t>(2)*(3)</t>
  </si>
  <si>
    <t xml:space="preserve">Cum. Floats </t>
  </si>
  <si>
    <t>Mass, %</t>
  </si>
  <si>
    <r>
      <t xml:space="preserve">Sum (4) </t>
    </r>
    <r>
      <rPr>
        <sz val="11"/>
        <color theme="1"/>
        <rFont val="Wingdings"/>
        <charset val="2"/>
      </rPr>
      <t>â</t>
    </r>
  </si>
  <si>
    <t xml:space="preserve">Ash, % dry </t>
  </si>
  <si>
    <t>(6)/(5)</t>
  </si>
  <si>
    <r>
      <t xml:space="preserve">Sum (2) </t>
    </r>
    <r>
      <rPr>
        <sz val="11"/>
        <color theme="1"/>
        <rFont val="Wingdings"/>
        <charset val="2"/>
      </rPr>
      <t>â</t>
    </r>
  </si>
  <si>
    <t xml:space="preserve">Cum. Sink </t>
  </si>
  <si>
    <r>
      <t xml:space="preserve">Sum (2) </t>
    </r>
    <r>
      <rPr>
        <sz val="11"/>
        <color theme="1"/>
        <rFont val="Wingdings"/>
        <charset val="2"/>
      </rPr>
      <t>á</t>
    </r>
  </si>
  <si>
    <r>
      <t xml:space="preserve">Sum (4) </t>
    </r>
    <r>
      <rPr>
        <sz val="11"/>
        <color theme="1"/>
        <rFont val="Wingdings"/>
        <charset val="2"/>
      </rPr>
      <t>á</t>
    </r>
  </si>
  <si>
    <t>(9)/(8)</t>
  </si>
  <si>
    <t>Cum Mass % @ mid-density range</t>
  </si>
  <si>
    <t>(5)-(2)/2</t>
  </si>
  <si>
    <t>Near-Gravity material (Mass %)</t>
  </si>
  <si>
    <t>RD+0.1 Sum (2) RD-0.1</t>
  </si>
  <si>
    <t xml:space="preserve">RD </t>
  </si>
  <si>
    <t>1/RD</t>
  </si>
  <si>
    <t>-16+8mm</t>
  </si>
  <si>
    <t>SG</t>
  </si>
  <si>
    <t>-8+2mm</t>
  </si>
  <si>
    <t>-2+0.5mm</t>
  </si>
  <si>
    <t>-0.5+0.25mm</t>
  </si>
  <si>
    <t>-50mm+0.25mm  Composite</t>
  </si>
  <si>
    <t>-2mm+0.25mm Composite</t>
  </si>
  <si>
    <t xml:space="preserve">Cum Floats </t>
  </si>
  <si>
    <t>Q of mass,</t>
  </si>
  <si>
    <t>-50mm+8.0mm Composite</t>
  </si>
  <si>
    <t>-8mm+2.0mm Composite</t>
  </si>
  <si>
    <t>Size</t>
  </si>
  <si>
    <t>Float SG</t>
  </si>
  <si>
    <t>Yield %</t>
  </si>
  <si>
    <t>Ash %</t>
  </si>
  <si>
    <t>CSN</t>
  </si>
  <si>
    <t>-50 x 8mm</t>
  </si>
  <si>
    <t>8 x 2mm</t>
  </si>
  <si>
    <t>2 x 0.250mm</t>
  </si>
  <si>
    <t>0.250mm x 0</t>
  </si>
  <si>
    <t>Total</t>
  </si>
  <si>
    <t xml:space="preserve">Wt % of overall </t>
  </si>
  <si>
    <t xml:space="preserve">Washability summary </t>
  </si>
  <si>
    <t xml:space="preserve">LIMN Simulation </t>
  </si>
  <si>
    <t>Coking Product</t>
  </si>
  <si>
    <t>TPH   (ad)</t>
  </si>
  <si>
    <t>Ash   (dry)</t>
  </si>
  <si>
    <t>Surface Moisture</t>
  </si>
  <si>
    <t>Total Moisture</t>
  </si>
  <si>
    <t>TPH   (ar)</t>
  </si>
  <si>
    <t>Ash   (ar)</t>
  </si>
  <si>
    <t>Ash   (ad)</t>
  </si>
  <si>
    <t>Volatiles (ad)</t>
  </si>
  <si>
    <t>Sulphur (ad)</t>
  </si>
  <si>
    <t>kcal/kg (ar)</t>
  </si>
  <si>
    <t>Coarse Coal Product</t>
  </si>
  <si>
    <t>13c Fine Coal Product</t>
  </si>
  <si>
    <t>17 Ultra Fine Product</t>
  </si>
  <si>
    <t>Primary Product Yield</t>
  </si>
  <si>
    <t>Middlings/Thermal Secondary Product</t>
  </si>
  <si>
    <t>Middlings Product</t>
  </si>
  <si>
    <t>Secondary Product Yield</t>
  </si>
  <si>
    <t>Inherent Moisture</t>
  </si>
  <si>
    <t>Ash-Yield Equation</t>
  </si>
  <si>
    <t xml:space="preserve">ROM ash, % </t>
  </si>
  <si>
    <t>Yield, %</t>
  </si>
  <si>
    <t>PR8_B35_4AL_01-08</t>
  </si>
  <si>
    <t>#19_20</t>
  </si>
  <si>
    <t>UHG 2019 Blend - 100% 4AL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</si>
</sst>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#\ ?/2"/>
    <numFmt numFmtId="167" formatCode="_(* #,##0.0_);_(* \(#,##0.0\);_(* &quot;-&quot;??_);_(@_)"/>
    <numFmt numFmtId="168" formatCode="0.0"/>
    <numFmt numFmtId="169" formatCode="#,##0.00#"/>
    <numFmt numFmtId="170" formatCode="#,##0.0"/>
    <numFmt numFmtId="171" formatCode="0.0%"/>
    <numFmt numFmtId="172" formatCode="0.0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0 Arial "/>
      <family val="2"/>
      <charset val="204"/>
    </font>
    <font>
      <b/>
      <sz val="11"/>
      <color theme="1"/>
      <name val="0 Arial "/>
      <family val="2"/>
      <charset val="204"/>
    </font>
    <font>
      <i/>
      <sz val="11"/>
      <color theme="1"/>
      <name val="0 Arial "/>
      <family val="2"/>
      <charset val="204"/>
    </font>
    <font>
      <b/>
      <u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000000"/>
      <name val="Calibri"/>
      <family val="2"/>
      <scheme val="minor"/>
    </font>
    <font>
      <sz val="11"/>
      <color theme="1"/>
      <name val="Wingdings"/>
      <charset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2"/>
    </font>
    <font>
      <sz val="12"/>
      <color rgb="FF9C0006"/>
      <name val="Arial"/>
      <family val="2"/>
    </font>
    <font>
      <sz val="10"/>
      <color rgb="FF000000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sz val="10"/>
      <name val="Calibri"/>
      <family val="2"/>
      <scheme val="minor"/>
    </font>
    <font>
      <sz val="10"/>
      <color rgb="FF9C0006"/>
      <name val="Calibri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  <bgColor rgb="FFFFFFFF"/>
      </patternFill>
    </fill>
    <fill>
      <patternFill patternType="solid">
        <fgColor indexed="21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/>
    <xf numFmtId="0" fontId="27" fillId="0" borderId="0"/>
    <xf numFmtId="0" fontId="28" fillId="8" borderId="0" applyNumberFormat="0" applyBorder="0" applyAlignment="0" applyProtection="0"/>
    <xf numFmtId="0" fontId="25" fillId="11" borderId="0" applyNumberFormat="0" applyBorder="0" applyAlignment="0" applyProtection="0">
      <alignment horizontal="center"/>
    </xf>
    <xf numFmtId="9" fontId="25" fillId="0" borderId="0" applyNumberFormat="0" applyBorder="0" applyAlignment="0" applyProtection="0"/>
    <xf numFmtId="169" fontId="25" fillId="14" borderId="29" applyNumberFormat="0" applyBorder="0" applyAlignment="0" applyProtection="0">
      <alignment horizontal="center" vertical="center"/>
      <protection locked="0"/>
    </xf>
  </cellStyleXfs>
  <cellXfs count="316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" fontId="0" fillId="0" borderId="0" xfId="0" applyNumberFormat="1"/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10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/>
    <xf numFmtId="164" fontId="10" fillId="0" borderId="0" xfId="1" applyNumberFormat="1" applyFont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1" fillId="0" borderId="0" xfId="0" applyFont="1"/>
    <xf numFmtId="0" fontId="10" fillId="0" borderId="0" xfId="0" applyFont="1"/>
    <xf numFmtId="0" fontId="10" fillId="3" borderId="2" xfId="0" applyFont="1" applyFill="1" applyBorder="1" applyAlignment="1">
      <alignment wrapText="1"/>
    </xf>
    <xf numFmtId="0" fontId="10" fillId="3" borderId="3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0" fontId="10" fillId="0" borderId="5" xfId="0" quotePrefix="1" applyFont="1" applyBorder="1" applyAlignment="1">
      <alignment horizontal="right"/>
    </xf>
    <xf numFmtId="0" fontId="10" fillId="0" borderId="6" xfId="0" quotePrefix="1" applyFont="1" applyBorder="1" applyAlignment="1">
      <alignment horizontal="right"/>
    </xf>
    <xf numFmtId="9" fontId="10" fillId="0" borderId="7" xfId="2" applyFont="1" applyBorder="1" applyAlignment="1">
      <alignment horizontal="center"/>
    </xf>
    <xf numFmtId="0" fontId="10" fillId="0" borderId="8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9" fontId="10" fillId="0" borderId="9" xfId="2" applyFont="1" applyBorder="1" applyAlignment="1">
      <alignment horizontal="center"/>
    </xf>
    <xf numFmtId="0" fontId="10" fillId="0" borderId="8" xfId="0" applyFont="1" applyBorder="1"/>
    <xf numFmtId="0" fontId="10" fillId="0" borderId="10" xfId="0" applyFont="1" applyBorder="1"/>
    <xf numFmtId="0" fontId="10" fillId="0" borderId="9" xfId="0" applyFont="1" applyBorder="1"/>
    <xf numFmtId="0" fontId="10" fillId="0" borderId="11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1" xfId="0" applyFont="1" applyBorder="1"/>
    <xf numFmtId="9" fontId="10" fillId="0" borderId="11" xfId="2" applyFont="1" applyBorder="1"/>
    <xf numFmtId="0" fontId="10" fillId="0" borderId="9" xfId="0" applyFont="1" applyBorder="1" applyAlignment="1">
      <alignment horizontal="right"/>
    </xf>
    <xf numFmtId="0" fontId="10" fillId="0" borderId="1" xfId="0" applyFont="1" applyBorder="1"/>
    <xf numFmtId="9" fontId="10" fillId="0" borderId="1" xfId="2" applyFont="1" applyBorder="1"/>
    <xf numFmtId="0" fontId="10" fillId="0" borderId="13" xfId="0" applyFont="1" applyBorder="1" applyAlignment="1">
      <alignment horizontal="right"/>
    </xf>
    <xf numFmtId="164" fontId="10" fillId="0" borderId="2" xfId="1" applyNumberFormat="1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right"/>
    </xf>
    <xf numFmtId="0" fontId="10" fillId="0" borderId="11" xfId="0" quotePrefix="1" applyFont="1" applyBorder="1" applyAlignment="1">
      <alignment horizontal="right"/>
    </xf>
    <xf numFmtId="0" fontId="10" fillId="0" borderId="0" xfId="0" quotePrefix="1" applyFont="1" applyAlignment="1">
      <alignment horizontal="right"/>
    </xf>
    <xf numFmtId="0" fontId="10" fillId="0" borderId="10" xfId="0" applyFont="1" applyBorder="1" applyAlignment="1">
      <alignment horizontal="right"/>
    </xf>
    <xf numFmtId="164" fontId="10" fillId="0" borderId="11" xfId="0" applyNumberFormat="1" applyFont="1" applyBorder="1"/>
    <xf numFmtId="164" fontId="10" fillId="0" borderId="1" xfId="0" applyNumberFormat="1" applyFont="1" applyBorder="1"/>
    <xf numFmtId="0" fontId="10" fillId="0" borderId="6" xfId="0" applyFont="1" applyBorder="1"/>
    <xf numFmtId="0" fontId="2" fillId="0" borderId="8" xfId="0" applyFont="1" applyBorder="1"/>
    <xf numFmtId="0" fontId="2" fillId="0" borderId="10" xfId="0" applyFont="1" applyBorder="1"/>
    <xf numFmtId="0" fontId="13" fillId="0" borderId="10" xfId="0" applyFont="1" applyBorder="1"/>
    <xf numFmtId="0" fontId="0" fillId="0" borderId="10" xfId="0" applyBorder="1"/>
    <xf numFmtId="0" fontId="0" fillId="0" borderId="9" xfId="0" applyBorder="1"/>
    <xf numFmtId="0" fontId="0" fillId="0" borderId="16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quotePrefix="1" applyFont="1" applyBorder="1"/>
    <xf numFmtId="0" fontId="2" fillId="0" borderId="2" xfId="0" quotePrefix="1" applyFont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14" fillId="4" borderId="6" xfId="1" applyNumberFormat="1" applyFont="1" applyFill="1" applyBorder="1" applyAlignment="1">
      <alignment horizontal="center"/>
    </xf>
    <xf numFmtId="2" fontId="14" fillId="4" borderId="6" xfId="0" applyNumberFormat="1" applyFont="1" applyFill="1" applyBorder="1" applyAlignment="1">
      <alignment horizontal="center"/>
    </xf>
    <xf numFmtId="2" fontId="16" fillId="0" borderId="8" xfId="0" applyNumberFormat="1" applyFont="1" applyBorder="1" applyAlignment="1">
      <alignment horizontal="center"/>
    </xf>
    <xf numFmtId="165" fontId="17" fillId="0" borderId="9" xfId="0" applyNumberFormat="1" applyFont="1" applyBorder="1" applyAlignment="1">
      <alignment horizontal="center"/>
    </xf>
    <xf numFmtId="164" fontId="17" fillId="0" borderId="1" xfId="1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2" fontId="17" fillId="0" borderId="10" xfId="0" applyNumberFormat="1" applyFont="1" applyBorder="1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164" fontId="17" fillId="0" borderId="9" xfId="1" applyNumberFormat="1" applyFont="1" applyBorder="1" applyAlignment="1">
      <alignment horizontal="center"/>
    </xf>
    <xf numFmtId="0" fontId="10" fillId="5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0" borderId="0" xfId="0" quotePrefix="1" applyFont="1"/>
    <xf numFmtId="0" fontId="20" fillId="0" borderId="0" xfId="0" applyFont="1" applyAlignment="1">
      <alignment horizontal="center" vertical="center" readingOrder="1"/>
    </xf>
    <xf numFmtId="0" fontId="10" fillId="3" borderId="2" xfId="0" applyFont="1" applyFill="1" applyBorder="1" applyAlignment="1">
      <alignment horizontal="center" vertical="center" wrapText="1"/>
    </xf>
    <xf numFmtId="14" fontId="11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0" fillId="0" borderId="2" xfId="0" applyFont="1" applyBorder="1"/>
    <xf numFmtId="2" fontId="10" fillId="0" borderId="6" xfId="0" applyNumberFormat="1" applyFont="1" applyBorder="1"/>
    <xf numFmtId="2" fontId="10" fillId="0" borderId="11" xfId="0" applyNumberFormat="1" applyFont="1" applyBorder="1"/>
    <xf numFmtId="14" fontId="0" fillId="6" borderId="0" xfId="0" applyNumberFormat="1" applyFill="1"/>
    <xf numFmtId="2" fontId="11" fillId="0" borderId="0" xfId="0" applyNumberFormat="1" applyFont="1"/>
    <xf numFmtId="43" fontId="10" fillId="0" borderId="11" xfId="0" applyNumberFormat="1" applyFont="1" applyBorder="1"/>
    <xf numFmtId="43" fontId="10" fillId="0" borderId="1" xfId="0" applyNumberFormat="1" applyFont="1" applyBorder="1"/>
    <xf numFmtId="164" fontId="10" fillId="0" borderId="13" xfId="1" applyNumberFormat="1" applyFont="1" applyBorder="1" applyAlignment="1">
      <alignment horizontal="center" vertical="center"/>
    </xf>
    <xf numFmtId="43" fontId="10" fillId="0" borderId="0" xfId="1" applyNumberFormat="1" applyFont="1" applyBorder="1" applyAlignment="1">
      <alignment horizontal="center" vertical="center"/>
    </xf>
    <xf numFmtId="43" fontId="10" fillId="0" borderId="0" xfId="0" applyNumberFormat="1" applyFont="1" applyBorder="1"/>
    <xf numFmtId="43" fontId="10" fillId="0" borderId="7" xfId="0" applyNumberFormat="1" applyFont="1" applyBorder="1"/>
    <xf numFmtId="43" fontId="10" fillId="0" borderId="12" xfId="0" applyNumberFormat="1" applyFont="1" applyBorder="1"/>
    <xf numFmtId="166" fontId="11" fillId="0" borderId="0" xfId="0" applyNumberFormat="1" applyFont="1" applyBorder="1"/>
    <xf numFmtId="0" fontId="10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7" borderId="2" xfId="0" applyFill="1" applyBorder="1" applyAlignment="1">
      <alignment horizontal="center"/>
    </xf>
    <xf numFmtId="166" fontId="14" fillId="4" borderId="6" xfId="0" applyNumberFormat="1" applyFont="1" applyFill="1" applyBorder="1" applyAlignment="1">
      <alignment horizontal="center"/>
    </xf>
    <xf numFmtId="166" fontId="17" fillId="0" borderId="10" xfId="0" applyNumberFormat="1" applyFont="1" applyBorder="1" applyAlignment="1">
      <alignment horizontal="center"/>
    </xf>
    <xf numFmtId="43" fontId="14" fillId="4" borderId="6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0" xfId="0" applyNumberFormat="1"/>
    <xf numFmtId="2" fontId="0" fillId="0" borderId="2" xfId="0" applyNumberFormat="1" applyBorder="1"/>
    <xf numFmtId="2" fontId="0" fillId="0" borderId="6" xfId="0" applyNumberFormat="1" applyBorder="1"/>
    <xf numFmtId="2" fontId="0" fillId="0" borderId="11" xfId="0" applyNumberFormat="1" applyBorder="1"/>
    <xf numFmtId="43" fontId="0" fillId="0" borderId="2" xfId="1" applyNumberFormat="1" applyFont="1" applyBorder="1"/>
    <xf numFmtId="43" fontId="0" fillId="0" borderId="6" xfId="1" applyNumberFormat="1" applyFont="1" applyBorder="1"/>
    <xf numFmtId="43" fontId="0" fillId="0" borderId="11" xfId="1" applyNumberFormat="1" applyFont="1" applyBorder="1"/>
    <xf numFmtId="0" fontId="0" fillId="0" borderId="0" xfId="0" applyFill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66" fontId="14" fillId="0" borderId="0" xfId="0" applyNumberFormat="1" applyFont="1" applyFill="1" applyBorder="1" applyAlignment="1">
      <alignment horizontal="center"/>
    </xf>
    <xf numFmtId="166" fontId="17" fillId="0" borderId="0" xfId="0" applyNumberFormat="1" applyFont="1" applyFill="1" applyBorder="1" applyAlignment="1">
      <alignment horizontal="center"/>
    </xf>
    <xf numFmtId="2" fontId="22" fillId="0" borderId="0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9" xfId="0" applyBorder="1" applyAlignment="1">
      <alignment horizontal="center" vertical="center" wrapText="1"/>
    </xf>
    <xf numFmtId="0" fontId="0" fillId="0" borderId="1" xfId="0" applyFill="1" applyBorder="1"/>
    <xf numFmtId="167" fontId="0" fillId="0" borderId="2" xfId="0" applyNumberFormat="1" applyBorder="1"/>
    <xf numFmtId="167" fontId="0" fillId="0" borderId="6" xfId="0" applyNumberFormat="1" applyBorder="1"/>
    <xf numFmtId="167" fontId="0" fillId="0" borderId="11" xfId="0" applyNumberFormat="1" applyBorder="1"/>
    <xf numFmtId="0" fontId="0" fillId="0" borderId="1" xfId="0" applyFill="1" applyBorder="1" applyAlignment="1">
      <alignment horizontal="center" vertical="center" wrapText="1"/>
    </xf>
    <xf numFmtId="43" fontId="0" fillId="0" borderId="2" xfId="0" applyNumberFormat="1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/>
    <xf numFmtId="165" fontId="0" fillId="0" borderId="0" xfId="0" applyNumberFormat="1"/>
    <xf numFmtId="2" fontId="17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166" fontId="24" fillId="0" borderId="0" xfId="0" applyNumberFormat="1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Fill="1" applyBorder="1" applyAlignment="1">
      <alignment horizontal="center"/>
    </xf>
    <xf numFmtId="2" fontId="25" fillId="0" borderId="0" xfId="0" applyNumberFormat="1" applyFont="1" applyFill="1" applyBorder="1" applyAlignment="1">
      <alignment horizontal="center"/>
    </xf>
    <xf numFmtId="166" fontId="25" fillId="0" borderId="0" xfId="0" applyNumberFormat="1" applyFont="1" applyFill="1" applyBorder="1" applyAlignment="1">
      <alignment horizontal="center"/>
    </xf>
    <xf numFmtId="2" fontId="0" fillId="0" borderId="2" xfId="0" applyNumberFormat="1" applyFill="1" applyBorder="1"/>
    <xf numFmtId="2" fontId="0" fillId="0" borderId="6" xfId="0" applyNumberFormat="1" applyFill="1" applyBorder="1"/>
    <xf numFmtId="2" fontId="0" fillId="0" borderId="3" xfId="0" quotePrefix="1" applyNumberFormat="1" applyBorder="1"/>
    <xf numFmtId="0" fontId="0" fillId="0" borderId="0" xfId="0" applyAlignment="1">
      <alignment horizontal="center"/>
    </xf>
    <xf numFmtId="0" fontId="0" fillId="0" borderId="8" xfId="0" applyBorder="1"/>
    <xf numFmtId="2" fontId="2" fillId="0" borderId="9" xfId="0" quotePrefix="1" applyNumberFormat="1" applyFont="1" applyBorder="1" applyAlignment="1"/>
    <xf numFmtId="2" fontId="2" fillId="0" borderId="1" xfId="0" quotePrefix="1" applyNumberFormat="1" applyFont="1" applyBorder="1" applyAlignment="1"/>
    <xf numFmtId="2" fontId="2" fillId="0" borderId="3" xfId="0" quotePrefix="1" applyNumberFormat="1" applyFont="1" applyBorder="1" applyAlignment="1">
      <alignment horizontal="center" vertical="center"/>
    </xf>
    <xf numFmtId="2" fontId="22" fillId="0" borderId="6" xfId="0" applyNumberFormat="1" applyFont="1" applyFill="1" applyBorder="1" applyAlignment="1">
      <alignment horizontal="center"/>
    </xf>
    <xf numFmtId="2" fontId="17" fillId="0" borderId="9" xfId="0" applyNumberFormat="1" applyFont="1" applyBorder="1" applyAlignment="1">
      <alignment horizontal="center"/>
    </xf>
    <xf numFmtId="2" fontId="0" fillId="9" borderId="2" xfId="0" applyNumberFormat="1" applyFill="1" applyBorder="1"/>
    <xf numFmtId="43" fontId="0" fillId="9" borderId="2" xfId="1" applyNumberFormat="1" applyFont="1" applyFill="1" applyBorder="1"/>
    <xf numFmtId="167" fontId="0" fillId="9" borderId="2" xfId="0" applyNumberFormat="1" applyFill="1" applyBorder="1"/>
    <xf numFmtId="43" fontId="0" fillId="9" borderId="2" xfId="0" applyNumberFormat="1" applyFill="1" applyBorder="1"/>
    <xf numFmtId="0" fontId="0" fillId="9" borderId="2" xfId="0" applyFill="1" applyBorder="1" applyAlignment="1">
      <alignment horizontal="center"/>
    </xf>
    <xf numFmtId="2" fontId="0" fillId="9" borderId="6" xfId="0" applyNumberFormat="1" applyFill="1" applyBorder="1"/>
    <xf numFmtId="43" fontId="0" fillId="9" borderId="6" xfId="1" applyNumberFormat="1" applyFont="1" applyFill="1" applyBorder="1"/>
    <xf numFmtId="167" fontId="0" fillId="9" borderId="6" xfId="0" applyNumberFormat="1" applyFill="1" applyBorder="1"/>
    <xf numFmtId="0" fontId="0" fillId="9" borderId="6" xfId="0" applyFill="1" applyBorder="1" applyAlignment="1">
      <alignment horizontal="center"/>
    </xf>
    <xf numFmtId="2" fontId="0" fillId="9" borderId="6" xfId="0" applyNumberFormat="1" applyFill="1" applyBorder="1" applyAlignment="1">
      <alignment horizontal="center"/>
    </xf>
    <xf numFmtId="2" fontId="0" fillId="9" borderId="11" xfId="0" applyNumberFormat="1" applyFill="1" applyBorder="1"/>
    <xf numFmtId="43" fontId="0" fillId="9" borderId="11" xfId="1" applyNumberFormat="1" applyFont="1" applyFill="1" applyBorder="1"/>
    <xf numFmtId="167" fontId="0" fillId="9" borderId="11" xfId="0" applyNumberFormat="1" applyFill="1" applyBorder="1"/>
    <xf numFmtId="0" fontId="0" fillId="9" borderId="11" xfId="0" applyFill="1" applyBorder="1" applyAlignment="1">
      <alignment horizontal="center"/>
    </xf>
    <xf numFmtId="165" fontId="14" fillId="9" borderId="2" xfId="0" applyNumberFormat="1" applyFont="1" applyFill="1" applyBorder="1" applyAlignment="1">
      <alignment horizontal="center"/>
    </xf>
    <xf numFmtId="165" fontId="14" fillId="9" borderId="6" xfId="0" applyNumberFormat="1" applyFont="1" applyFill="1" applyBorder="1" applyAlignment="1">
      <alignment horizontal="center"/>
    </xf>
    <xf numFmtId="165" fontId="14" fillId="9" borderId="11" xfId="0" applyNumberFormat="1" applyFont="1" applyFill="1" applyBorder="1" applyAlignment="1">
      <alignment horizontal="center"/>
    </xf>
    <xf numFmtId="0" fontId="29" fillId="0" borderId="4" xfId="3" quotePrefix="1" applyFont="1" applyBorder="1"/>
    <xf numFmtId="0" fontId="29" fillId="0" borderId="5" xfId="3" quotePrefix="1" applyFont="1" applyBorder="1"/>
    <xf numFmtId="0" fontId="29" fillId="0" borderId="15" xfId="3" applyFont="1" applyBorder="1"/>
    <xf numFmtId="0" fontId="29" fillId="0" borderId="4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2" fontId="32" fillId="10" borderId="11" xfId="5" applyNumberFormat="1" applyFont="1" applyFill="1" applyBorder="1" applyAlignment="1">
      <alignment horizontal="center"/>
    </xf>
    <xf numFmtId="0" fontId="29" fillId="0" borderId="1" xfId="3" applyFont="1" applyBorder="1" applyAlignment="1">
      <alignment horizontal="center" vertical="center" wrapText="1"/>
    </xf>
    <xf numFmtId="1" fontId="29" fillId="0" borderId="1" xfId="3" applyNumberFormat="1" applyFont="1" applyFill="1" applyBorder="1" applyAlignment="1">
      <alignment horizontal="center"/>
    </xf>
    <xf numFmtId="2" fontId="29" fillId="9" borderId="3" xfId="3" applyNumberFormat="1" applyFont="1" applyFill="1" applyBorder="1" applyAlignment="1">
      <alignment horizontal="center"/>
    </xf>
    <xf numFmtId="2" fontId="29" fillId="9" borderId="7" xfId="3" applyNumberFormat="1" applyFont="1" applyFill="1" applyBorder="1" applyAlignment="1">
      <alignment horizontal="center"/>
    </xf>
    <xf numFmtId="2" fontId="29" fillId="9" borderId="12" xfId="3" applyNumberFormat="1" applyFont="1" applyFill="1" applyBorder="1" applyAlignment="1">
      <alignment horizontal="center"/>
    </xf>
    <xf numFmtId="0" fontId="29" fillId="0" borderId="8" xfId="3" applyFont="1" applyBorder="1"/>
    <xf numFmtId="2" fontId="31" fillId="0" borderId="9" xfId="3" applyNumberFormat="1" applyFont="1" applyBorder="1" applyAlignment="1">
      <alignment horizontal="center"/>
    </xf>
    <xf numFmtId="165" fontId="30" fillId="9" borderId="4" xfId="3" applyNumberFormat="1" applyFont="1" applyFill="1" applyBorder="1" applyAlignment="1">
      <alignment horizontal="center"/>
    </xf>
    <xf numFmtId="165" fontId="31" fillId="9" borderId="5" xfId="3" applyNumberFormat="1" applyFont="1" applyFill="1" applyBorder="1" applyAlignment="1">
      <alignment horizontal="center"/>
    </xf>
    <xf numFmtId="165" fontId="30" fillId="9" borderId="15" xfId="3" applyNumberFormat="1" applyFont="1" applyFill="1" applyBorder="1" applyAlignment="1">
      <alignment horizontal="center"/>
    </xf>
    <xf numFmtId="2" fontId="30" fillId="0" borderId="8" xfId="3" applyNumberFormat="1" applyFont="1" applyBorder="1" applyAlignment="1">
      <alignment horizontal="center"/>
    </xf>
    <xf numFmtId="0" fontId="30" fillId="0" borderId="15" xfId="3" applyFont="1" applyBorder="1" applyAlignment="1">
      <alignment horizontal="center"/>
    </xf>
    <xf numFmtId="2" fontId="29" fillId="0" borderId="12" xfId="3" applyNumberFormat="1" applyFont="1" applyBorder="1" applyAlignment="1">
      <alignment horizontal="center"/>
    </xf>
    <xf numFmtId="2" fontId="29" fillId="9" borderId="2" xfId="3" applyNumberFormat="1" applyFont="1" applyFill="1" applyBorder="1" applyAlignment="1">
      <alignment horizontal="center"/>
    </xf>
    <xf numFmtId="2" fontId="29" fillId="9" borderId="6" xfId="3" applyNumberFormat="1" applyFont="1" applyFill="1" applyBorder="1" applyAlignment="1">
      <alignment horizontal="center"/>
    </xf>
    <xf numFmtId="2" fontId="29" fillId="9" borderId="11" xfId="3" applyNumberFormat="1" applyFont="1" applyFill="1" applyBorder="1" applyAlignment="1">
      <alignment horizontal="center"/>
    </xf>
    <xf numFmtId="2" fontId="31" fillId="0" borderId="1" xfId="3" applyNumberFormat="1" applyFont="1" applyBorder="1" applyAlignment="1">
      <alignment horizontal="center"/>
    </xf>
    <xf numFmtId="0" fontId="29" fillId="0" borderId="15" xfId="3" applyFont="1" applyBorder="1" applyAlignment="1">
      <alignment horizontal="center"/>
    </xf>
    <xf numFmtId="2" fontId="29" fillId="0" borderId="2" xfId="3" applyNumberFormat="1" applyFont="1" applyFill="1" applyBorder="1" applyAlignment="1">
      <alignment horizontal="center"/>
    </xf>
    <xf numFmtId="168" fontId="29" fillId="0" borderId="6" xfId="3" applyNumberFormat="1" applyFont="1" applyFill="1" applyBorder="1" applyAlignment="1">
      <alignment horizontal="center"/>
    </xf>
    <xf numFmtId="168" fontId="29" fillId="0" borderId="11" xfId="3" applyNumberFormat="1" applyFont="1" applyFill="1" applyBorder="1" applyAlignment="1">
      <alignment horizontal="center"/>
    </xf>
    <xf numFmtId="2" fontId="8" fillId="0" borderId="1" xfId="4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33" fillId="12" borderId="17" xfId="6" applyFont="1" applyFill="1" applyBorder="1" applyAlignment="1"/>
    <xf numFmtId="0" fontId="33" fillId="12" borderId="18" xfId="6" applyFont="1" applyFill="1" applyBorder="1" applyAlignment="1"/>
    <xf numFmtId="0" fontId="25" fillId="12" borderId="19" xfId="6" applyFill="1" applyBorder="1">
      <alignment horizontal="center"/>
    </xf>
    <xf numFmtId="0" fontId="25" fillId="12" borderId="20" xfId="6" applyFill="1" applyBorder="1">
      <alignment horizontal="center"/>
    </xf>
    <xf numFmtId="0" fontId="25" fillId="12" borderId="21" xfId="6" applyFill="1" applyBorder="1">
      <alignment horizontal="center"/>
    </xf>
    <xf numFmtId="0" fontId="34" fillId="12" borderId="22" xfId="6" applyFont="1" applyFill="1" applyBorder="1" applyAlignment="1">
      <alignment horizontal="left" indent="1"/>
    </xf>
    <xf numFmtId="0" fontId="25" fillId="12" borderId="0" xfId="6" applyFill="1">
      <alignment horizontal="center"/>
    </xf>
    <xf numFmtId="0" fontId="25" fillId="12" borderId="23" xfId="6" applyFill="1" applyBorder="1">
      <alignment horizontal="center"/>
    </xf>
    <xf numFmtId="0" fontId="35" fillId="12" borderId="22" xfId="6" applyFont="1" applyFill="1" applyBorder="1" applyAlignment="1">
      <alignment horizontal="center" wrapText="1"/>
    </xf>
    <xf numFmtId="0" fontId="35" fillId="12" borderId="16" xfId="6" applyFont="1" applyFill="1" applyBorder="1" applyAlignment="1">
      <alignment horizontal="center" wrapText="1"/>
    </xf>
    <xf numFmtId="0" fontId="35" fillId="12" borderId="24" xfId="6" applyFont="1" applyFill="1" applyBorder="1" applyAlignment="1">
      <alignment horizontal="center" wrapText="1"/>
    </xf>
    <xf numFmtId="169" fontId="25" fillId="12" borderId="22" xfId="6" applyNumberFormat="1" applyFill="1" applyBorder="1" applyAlignment="1">
      <alignment horizontal="left" indent="3"/>
    </xf>
    <xf numFmtId="3" fontId="25" fillId="12" borderId="0" xfId="6" applyNumberFormat="1" applyFill="1">
      <alignment horizontal="center"/>
    </xf>
    <xf numFmtId="170" fontId="25" fillId="12" borderId="0" xfId="6" applyNumberFormat="1" applyFill="1">
      <alignment horizontal="center"/>
    </xf>
    <xf numFmtId="168" fontId="25" fillId="12" borderId="0" xfId="6" applyNumberFormat="1" applyFill="1">
      <alignment horizontal="center"/>
    </xf>
    <xf numFmtId="1" fontId="25" fillId="12" borderId="0" xfId="6" applyNumberFormat="1" applyFill="1">
      <alignment horizontal="center"/>
    </xf>
    <xf numFmtId="4" fontId="25" fillId="12" borderId="0" xfId="6" applyNumberFormat="1" applyFill="1">
      <alignment horizontal="center"/>
    </xf>
    <xf numFmtId="166" fontId="25" fillId="12" borderId="0" xfId="6" applyNumberFormat="1" applyFill="1">
      <alignment horizontal="center"/>
    </xf>
    <xf numFmtId="3" fontId="25" fillId="12" borderId="23" xfId="6" applyNumberFormat="1" applyFill="1" applyBorder="1">
      <alignment horizontal="center"/>
    </xf>
    <xf numFmtId="3" fontId="25" fillId="12" borderId="16" xfId="6" applyNumberFormat="1" applyFill="1" applyBorder="1">
      <alignment horizontal="center"/>
    </xf>
    <xf numFmtId="170" fontId="25" fillId="12" borderId="16" xfId="6" applyNumberFormat="1" applyFill="1" applyBorder="1">
      <alignment horizontal="center"/>
    </xf>
    <xf numFmtId="168" fontId="25" fillId="12" borderId="16" xfId="6" applyNumberFormat="1" applyFill="1" applyBorder="1">
      <alignment horizontal="center"/>
    </xf>
    <xf numFmtId="1" fontId="25" fillId="12" borderId="16" xfId="6" applyNumberFormat="1" applyFill="1" applyBorder="1">
      <alignment horizontal="center"/>
    </xf>
    <xf numFmtId="4" fontId="25" fillId="12" borderId="16" xfId="6" applyNumberFormat="1" applyFill="1" applyBorder="1">
      <alignment horizontal="center"/>
    </xf>
    <xf numFmtId="166" fontId="25" fillId="12" borderId="16" xfId="6" applyNumberFormat="1" applyFill="1" applyBorder="1">
      <alignment horizontal="center"/>
    </xf>
    <xf numFmtId="3" fontId="25" fillId="12" borderId="24" xfId="6" applyNumberFormat="1" applyFill="1" applyBorder="1">
      <alignment horizontal="center"/>
    </xf>
    <xf numFmtId="0" fontId="36" fillId="12" borderId="22" xfId="6" applyFont="1" applyFill="1" applyBorder="1" applyAlignment="1">
      <alignment horizontal="left" indent="2"/>
    </xf>
    <xf numFmtId="3" fontId="36" fillId="12" borderId="0" xfId="6" applyNumberFormat="1" applyFont="1" applyFill="1">
      <alignment horizontal="center"/>
    </xf>
    <xf numFmtId="168" fontId="36" fillId="12" borderId="0" xfId="6" applyNumberFormat="1" applyFont="1" applyFill="1">
      <alignment horizontal="center"/>
    </xf>
    <xf numFmtId="165" fontId="36" fillId="13" borderId="0" xfId="6" applyNumberFormat="1" applyFont="1" applyFill="1">
      <alignment horizontal="center"/>
    </xf>
    <xf numFmtId="170" fontId="36" fillId="12" borderId="0" xfId="6" applyNumberFormat="1" applyFont="1" applyFill="1">
      <alignment horizontal="center"/>
    </xf>
    <xf numFmtId="4" fontId="36" fillId="12" borderId="0" xfId="6" applyNumberFormat="1" applyFont="1" applyFill="1">
      <alignment horizontal="center"/>
    </xf>
    <xf numFmtId="166" fontId="36" fillId="12" borderId="0" xfId="6" applyNumberFormat="1" applyFont="1" applyFill="1">
      <alignment horizontal="center"/>
    </xf>
    <xf numFmtId="3" fontId="36" fillId="12" borderId="23" xfId="6" applyNumberFormat="1" applyFont="1" applyFill="1" applyBorder="1">
      <alignment horizontal="center"/>
    </xf>
    <xf numFmtId="0" fontId="36" fillId="12" borderId="22" xfId="6" applyFont="1" applyFill="1" applyBorder="1" applyAlignment="1">
      <alignment horizontal="left" indent="1"/>
    </xf>
    <xf numFmtId="171" fontId="34" fillId="12" borderId="0" xfId="7" applyNumberFormat="1" applyFont="1" applyFill="1" applyAlignment="1">
      <alignment horizontal="center"/>
    </xf>
    <xf numFmtId="170" fontId="25" fillId="12" borderId="23" xfId="6" applyNumberFormat="1" applyFill="1" applyBorder="1">
      <alignment horizontal="center"/>
    </xf>
    <xf numFmtId="0" fontId="25" fillId="12" borderId="25" xfId="6" applyFill="1" applyBorder="1">
      <alignment horizontal="center"/>
    </xf>
    <xf numFmtId="0" fontId="25" fillId="12" borderId="26" xfId="6" applyFill="1" applyBorder="1">
      <alignment horizontal="center"/>
    </xf>
    <xf numFmtId="170" fontId="25" fillId="12" borderId="27" xfId="6" applyNumberFormat="1" applyFill="1" applyBorder="1">
      <alignment horizontal="center"/>
    </xf>
    <xf numFmtId="0" fontId="25" fillId="12" borderId="22" xfId="6" applyFill="1" applyBorder="1">
      <alignment horizontal="center"/>
    </xf>
    <xf numFmtId="169" fontId="36" fillId="12" borderId="22" xfId="6" applyNumberFormat="1" applyFont="1" applyFill="1" applyBorder="1" applyAlignment="1">
      <alignment horizontal="left" indent="2"/>
    </xf>
    <xf numFmtId="2" fontId="36" fillId="12" borderId="0" xfId="6" applyNumberFormat="1" applyFont="1" applyFill="1">
      <alignment horizontal="center"/>
    </xf>
    <xf numFmtId="0" fontId="35" fillId="12" borderId="22" xfId="6" applyFont="1" applyFill="1" applyBorder="1" applyAlignment="1">
      <alignment horizontal="left" indent="1"/>
    </xf>
    <xf numFmtId="0" fontId="25" fillId="12" borderId="17" xfId="6" applyFill="1" applyBorder="1">
      <alignment horizontal="center"/>
    </xf>
    <xf numFmtId="0" fontId="25" fillId="12" borderId="18" xfId="6" applyFill="1" applyBorder="1">
      <alignment horizontal="center"/>
    </xf>
    <xf numFmtId="0" fontId="25" fillId="12" borderId="28" xfId="6" applyFill="1" applyBorder="1">
      <alignment horizontal="center"/>
    </xf>
    <xf numFmtId="0" fontId="2" fillId="0" borderId="0" xfId="0" applyFont="1" applyAlignment="1">
      <alignment horizontal="center"/>
    </xf>
    <xf numFmtId="2" fontId="25" fillId="9" borderId="30" xfId="8" applyNumberFormat="1" applyFill="1" applyBorder="1">
      <alignment horizontal="center" vertical="center"/>
      <protection locked="0"/>
    </xf>
    <xf numFmtId="10" fontId="25" fillId="9" borderId="30" xfId="8" applyNumberFormat="1" applyFill="1" applyBorder="1">
      <alignment horizontal="center" vertical="center"/>
      <protection locked="0"/>
    </xf>
    <xf numFmtId="2" fontId="25" fillId="9" borderId="29" xfId="8" applyNumberFormat="1" applyFill="1" applyBorder="1">
      <alignment horizontal="center" vertical="center"/>
      <protection locked="0"/>
    </xf>
    <xf numFmtId="10" fontId="25" fillId="9" borderId="29" xfId="8" applyNumberFormat="1" applyFill="1" applyBorder="1">
      <alignment horizontal="center" vertical="center"/>
      <protection locked="0"/>
    </xf>
    <xf numFmtId="2" fontId="25" fillId="9" borderId="11" xfId="8" applyNumberFormat="1" applyFill="1" applyBorder="1">
      <alignment horizontal="center" vertical="center"/>
      <protection locked="0"/>
    </xf>
    <xf numFmtId="10" fontId="25" fillId="9" borderId="11" xfId="8" applyNumberFormat="1" applyFill="1" applyBorder="1">
      <alignment horizontal="center" vertical="center"/>
      <protection locked="0"/>
    </xf>
    <xf numFmtId="0" fontId="13" fillId="0" borderId="0" xfId="0" applyFont="1" applyFill="1"/>
    <xf numFmtId="0" fontId="10" fillId="15" borderId="2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164" fontId="10" fillId="15" borderId="2" xfId="1" applyNumberFormat="1" applyFont="1" applyFill="1" applyBorder="1" applyAlignment="1">
      <alignment horizontal="center" vertical="center"/>
    </xf>
    <xf numFmtId="43" fontId="10" fillId="15" borderId="6" xfId="1" applyNumberFormat="1" applyFont="1" applyFill="1" applyBorder="1" applyAlignment="1">
      <alignment horizontal="center" vertical="center"/>
    </xf>
    <xf numFmtId="2" fontId="10" fillId="15" borderId="6" xfId="0" applyNumberFormat="1" applyFont="1" applyFill="1" applyBorder="1"/>
    <xf numFmtId="43" fontId="10" fillId="15" borderId="11" xfId="1" applyNumberFormat="1" applyFont="1" applyFill="1" applyBorder="1" applyAlignment="1">
      <alignment horizontal="center" vertical="center"/>
    </xf>
    <xf numFmtId="2" fontId="10" fillId="15" borderId="11" xfId="0" applyNumberFormat="1" applyFont="1" applyFill="1" applyBorder="1"/>
    <xf numFmtId="43" fontId="10" fillId="15" borderId="2" xfId="1" applyNumberFormat="1" applyFont="1" applyFill="1" applyBorder="1" applyAlignment="1">
      <alignment horizontal="center" vertical="center"/>
    </xf>
    <xf numFmtId="43" fontId="10" fillId="15" borderId="6" xfId="0" applyNumberFormat="1" applyFont="1" applyFill="1" applyBorder="1"/>
    <xf numFmtId="43" fontId="10" fillId="15" borderId="11" xfId="0" applyNumberFormat="1" applyFont="1" applyFill="1" applyBorder="1"/>
    <xf numFmtId="166" fontId="10" fillId="15" borderId="6" xfId="1" applyNumberFormat="1" applyFont="1" applyFill="1" applyBorder="1" applyAlignment="1">
      <alignment vertical="center"/>
    </xf>
    <xf numFmtId="166" fontId="10" fillId="15" borderId="6" xfId="0" applyNumberFormat="1" applyFont="1" applyFill="1" applyBorder="1" applyAlignment="1"/>
    <xf numFmtId="166" fontId="10" fillId="15" borderId="11" xfId="0" applyNumberFormat="1" applyFont="1" applyFill="1" applyBorder="1" applyAlignment="1"/>
    <xf numFmtId="0" fontId="10" fillId="15" borderId="1" xfId="0" applyFont="1" applyFill="1" applyBorder="1" applyAlignment="1">
      <alignment horizontal="center" vertical="center"/>
    </xf>
    <xf numFmtId="0" fontId="0" fillId="15" borderId="1" xfId="0" applyFill="1" applyBorder="1"/>
    <xf numFmtId="43" fontId="10" fillId="15" borderId="1" xfId="1" applyNumberFormat="1" applyFont="1" applyFill="1" applyBorder="1" applyAlignment="1">
      <alignment horizontal="center" vertical="center"/>
    </xf>
    <xf numFmtId="43" fontId="0" fillId="15" borderId="1" xfId="0" applyNumberFormat="1" applyFill="1" applyBorder="1"/>
    <xf numFmtId="165" fontId="14" fillId="0" borderId="6" xfId="0" quotePrefix="1" applyNumberFormat="1" applyFont="1" applyFill="1" applyBorder="1" applyAlignment="1">
      <alignment horizontal="center"/>
    </xf>
    <xf numFmtId="165" fontId="14" fillId="0" borderId="6" xfId="0" applyNumberFormat="1" applyFont="1" applyFill="1" applyBorder="1" applyAlignment="1">
      <alignment horizontal="center"/>
    </xf>
    <xf numFmtId="165" fontId="15" fillId="0" borderId="6" xfId="0" applyNumberFormat="1" applyFont="1" applyFill="1" applyBorder="1" applyAlignment="1">
      <alignment horizontal="center"/>
    </xf>
    <xf numFmtId="2" fontId="14" fillId="0" borderId="6" xfId="0" quotePrefix="1" applyNumberFormat="1" applyFont="1" applyFill="1" applyBorder="1" applyAlignment="1">
      <alignment horizontal="center"/>
    </xf>
    <xf numFmtId="2" fontId="15" fillId="0" borderId="6" xfId="0" applyNumberFormat="1" applyFont="1" applyFill="1" applyBorder="1" applyAlignment="1">
      <alignment horizontal="center"/>
    </xf>
    <xf numFmtId="165" fontId="14" fillId="0" borderId="2" xfId="0" applyNumberFormat="1" applyFont="1" applyFill="1" applyBorder="1" applyAlignment="1">
      <alignment horizontal="center"/>
    </xf>
    <xf numFmtId="165" fontId="14" fillId="0" borderId="11" xfId="0" applyNumberFormat="1" applyFont="1" applyFill="1" applyBorder="1" applyAlignment="1">
      <alignment horizontal="center"/>
    </xf>
    <xf numFmtId="172" fontId="10" fillId="0" borderId="6" xfId="0" applyNumberFormat="1" applyFont="1" applyBorder="1"/>
    <xf numFmtId="172" fontId="10" fillId="0" borderId="11" xfId="0" applyNumberFormat="1" applyFont="1" applyBorder="1"/>
    <xf numFmtId="167" fontId="14" fillId="4" borderId="6" xfId="1" applyNumberFormat="1" applyFont="1" applyFill="1" applyBorder="1" applyAlignment="1">
      <alignment horizontal="center"/>
    </xf>
    <xf numFmtId="0" fontId="0" fillId="16" borderId="1" xfId="0" applyFill="1" applyBorder="1"/>
    <xf numFmtId="164" fontId="10" fillId="16" borderId="1" xfId="0" applyNumberFormat="1" applyFont="1" applyFill="1" applyBorder="1" applyAlignment="1">
      <alignment horizontal="center"/>
    </xf>
    <xf numFmtId="164" fontId="10" fillId="16" borderId="6" xfId="1" applyNumberFormat="1" applyFont="1" applyFill="1" applyBorder="1" applyAlignment="1">
      <alignment horizontal="center" vertical="center"/>
    </xf>
    <xf numFmtId="0" fontId="10" fillId="16" borderId="6" xfId="0" applyFont="1" applyFill="1" applyBorder="1"/>
    <xf numFmtId="0" fontId="10" fillId="16" borderId="11" xfId="0" applyFont="1" applyFill="1" applyBorder="1"/>
    <xf numFmtId="0" fontId="11" fillId="0" borderId="0" xfId="0" applyFont="1" applyAlignment="1">
      <alignment horizontal="right"/>
    </xf>
    <xf numFmtId="14" fontId="11" fillId="0" borderId="0" xfId="0" applyNumberFormat="1" applyFont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quotePrefix="1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0" xfId="2" applyNumberFormat="1" applyFont="1"/>
  </cellXfs>
  <cellStyles count="9">
    <cellStyle name="Bad 2" xfId="5"/>
    <cellStyle name="CalcDataLimn" xfId="8"/>
    <cellStyle name="Comma" xfId="1" builtinId="3"/>
    <cellStyle name="Normal" xfId="0" builtinId="0"/>
    <cellStyle name="Normal 11 2" xfId="3"/>
    <cellStyle name="Normal 2 2" xfId="4"/>
    <cellStyle name="NormalProtected 2" xfId="6"/>
    <cellStyle name="Percent" xfId="2" builtinId="5"/>
    <cellStyle name="Percent 2" xfId="7"/>
  </cellStyles>
  <dxfs count="0"/>
  <tableStyles count="0" defaultTableStyle="TableStyleMedium2" defaultPivotStyle="PivotStyleLight16"/>
  <colors>
    <mruColors>
      <color rgb="FFFF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594275803743091E-2"/>
          <c:y val="0.15297338734100546"/>
          <c:w val="0.80256857632217593"/>
          <c:h val="0.74781273716420027"/>
        </c:manualLayout>
      </c:layout>
      <c:scatterChart>
        <c:scatterStyle val="lineMarker"/>
        <c:varyColors val="0"/>
        <c:ser>
          <c:idx val="13"/>
          <c:order val="0"/>
          <c:tx>
            <c:v>Grind</c:v>
          </c:tx>
          <c:spPr>
            <a:ln w="3175">
              <a:solidFill>
                <a:sysClr val="windowText" lastClr="000000"/>
              </a:solidFill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99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8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99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97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95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9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r>
                      <a:rPr lang="en-US"/>
                      <a:t>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9B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r>
                      <a:rPr lang="en-US"/>
                      <a:t>80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9C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r>
                      <a:rPr lang="en-US"/>
                      <a:t>80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r>
                      <a:rPr lang="en-US"/>
                      <a:t>70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9D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r>
                      <a:rPr lang="en-US"/>
                      <a:t>70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r>
                      <a:rPr lang="en-US"/>
                      <a:t>60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9E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r>
                      <a:rPr lang="en-US"/>
                      <a:t>60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9F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r>
                      <a:rPr lang="en-US"/>
                      <a:t>40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0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r>
                      <a:rPr lang="en-US"/>
                      <a:t>40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1"/>
              <c:layout/>
              <c:tx>
                <c:rich>
                  <a:bodyPr/>
                  <a:lstStyle/>
                  <a:p>
                    <a:r>
                      <a:rPr lang="en-US"/>
                      <a:t>30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1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2"/>
              <c:layout/>
              <c:tx>
                <c:rich>
                  <a:bodyPr/>
                  <a:lstStyle/>
                  <a:p>
                    <a:r>
                      <a:rPr lang="en-US"/>
                      <a:t>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4"/>
              <c:layout/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2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5"/>
              <c:layout/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7"/>
              <c:layout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3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8"/>
              <c:layout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0"/>
              <c:layout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4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1"/>
              <c:layout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5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4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6"/>
              <c:layout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6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7"/>
              <c:layout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C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9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A7-EB6E-4EF8-A1D1-1D184E2E465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0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2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E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3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F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5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0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6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ACBB-48B8-9239-0D4195749E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Pretreatment!$Z$3:$Z$59</c:f>
              <c:numCache>
                <c:formatCode>General</c:formatCode>
                <c:ptCount val="57"/>
                <c:pt idx="0">
                  <c:v>0.01</c:v>
                </c:pt>
                <c:pt idx="1">
                  <c:v>1000</c:v>
                </c:pt>
                <c:pt idx="3">
                  <c:v>0.01</c:v>
                </c:pt>
                <c:pt idx="11">
                  <c:v>1000</c:v>
                </c:pt>
                <c:pt idx="13">
                  <c:v>0.01</c:v>
                </c:pt>
                <c:pt idx="14">
                  <c:v>1000</c:v>
                </c:pt>
                <c:pt idx="16">
                  <c:v>0.01</c:v>
                </c:pt>
                <c:pt idx="17">
                  <c:v>1000</c:v>
                </c:pt>
                <c:pt idx="19">
                  <c:v>0.01</c:v>
                </c:pt>
                <c:pt idx="20">
                  <c:v>1000</c:v>
                </c:pt>
                <c:pt idx="22">
                  <c:v>0.01</c:v>
                </c:pt>
                <c:pt idx="23">
                  <c:v>1000</c:v>
                </c:pt>
                <c:pt idx="25">
                  <c:v>0.01</c:v>
                </c:pt>
                <c:pt idx="26">
                  <c:v>1000</c:v>
                </c:pt>
                <c:pt idx="28">
                  <c:v>0.01</c:v>
                </c:pt>
                <c:pt idx="29">
                  <c:v>1000</c:v>
                </c:pt>
                <c:pt idx="31">
                  <c:v>0.01</c:v>
                </c:pt>
                <c:pt idx="32">
                  <c:v>1000</c:v>
                </c:pt>
                <c:pt idx="34">
                  <c:v>0.01</c:v>
                </c:pt>
                <c:pt idx="35">
                  <c:v>1000</c:v>
                </c:pt>
                <c:pt idx="37">
                  <c:v>0.01</c:v>
                </c:pt>
                <c:pt idx="38">
                  <c:v>1000</c:v>
                </c:pt>
                <c:pt idx="40">
                  <c:v>0.01</c:v>
                </c:pt>
                <c:pt idx="41">
                  <c:v>1000</c:v>
                </c:pt>
                <c:pt idx="43">
                  <c:v>0.01</c:v>
                </c:pt>
                <c:pt idx="44">
                  <c:v>1000</c:v>
                </c:pt>
                <c:pt idx="46">
                  <c:v>0.01</c:v>
                </c:pt>
                <c:pt idx="47">
                  <c:v>1000</c:v>
                </c:pt>
                <c:pt idx="49">
                  <c:v>0.01</c:v>
                </c:pt>
                <c:pt idx="50">
                  <c:v>1000</c:v>
                </c:pt>
                <c:pt idx="52">
                  <c:v>0.01</c:v>
                </c:pt>
                <c:pt idx="53">
                  <c:v>1000</c:v>
                </c:pt>
                <c:pt idx="55">
                  <c:v>0.01</c:v>
                </c:pt>
                <c:pt idx="56">
                  <c:v>1000</c:v>
                </c:pt>
              </c:numCache>
            </c:numRef>
          </c:xVal>
          <c:yVal>
            <c:numRef>
              <c:f>Pretreatment!$AA$3:$AA$59</c:f>
              <c:numCache>
                <c:formatCode>General</c:formatCode>
                <c:ptCount val="57"/>
                <c:pt idx="0">
                  <c:v>1.5271796258079011</c:v>
                </c:pt>
                <c:pt idx="1">
                  <c:v>1.5271796258079011</c:v>
                </c:pt>
                <c:pt idx="3">
                  <c:v>1.0971887003649483</c:v>
                </c:pt>
                <c:pt idx="11">
                  <c:v>1.0971887003649483</c:v>
                </c:pt>
                <c:pt idx="13">
                  <c:v>0.83403244524795594</c:v>
                </c:pt>
                <c:pt idx="14">
                  <c:v>0.83403244524795594</c:v>
                </c:pt>
                <c:pt idx="16">
                  <c:v>0.4758849953271107</c:v>
                </c:pt>
                <c:pt idx="17">
                  <c:v>0.4758849953271107</c:v>
                </c:pt>
                <c:pt idx="19">
                  <c:v>0.18562675886236557</c:v>
                </c:pt>
                <c:pt idx="20">
                  <c:v>0.18562675886236557</c:v>
                </c:pt>
                <c:pt idx="22">
                  <c:v>-8.7421571790755173E-2</c:v>
                </c:pt>
                <c:pt idx="23">
                  <c:v>-8.7421571790755173E-2</c:v>
                </c:pt>
                <c:pt idx="25">
                  <c:v>-0.36651292058166435</c:v>
                </c:pt>
                <c:pt idx="26">
                  <c:v>-0.36651292058166435</c:v>
                </c:pt>
                <c:pt idx="28">
                  <c:v>-0.67172699209212194</c:v>
                </c:pt>
                <c:pt idx="29">
                  <c:v>-0.67172699209212194</c:v>
                </c:pt>
                <c:pt idx="31">
                  <c:v>-1.0309304331587228</c:v>
                </c:pt>
                <c:pt idx="32">
                  <c:v>-1.0309304331587228</c:v>
                </c:pt>
                <c:pt idx="34">
                  <c:v>-1.4999399867595158</c:v>
                </c:pt>
                <c:pt idx="35">
                  <c:v>-1.4999399867595158</c:v>
                </c:pt>
                <c:pt idx="37">
                  <c:v>-1.8169607947796103</c:v>
                </c:pt>
                <c:pt idx="38">
                  <c:v>-1.8169607947796103</c:v>
                </c:pt>
                <c:pt idx="40">
                  <c:v>-2.2503673273124454</c:v>
                </c:pt>
                <c:pt idx="41">
                  <c:v>-2.2503673273124454</c:v>
                </c:pt>
                <c:pt idx="43">
                  <c:v>-2.4843275102530673</c:v>
                </c:pt>
                <c:pt idx="44">
                  <c:v>-2.4843275102530673</c:v>
                </c:pt>
                <c:pt idx="46">
                  <c:v>-2.7826325333778006</c:v>
                </c:pt>
                <c:pt idx="47">
                  <c:v>-2.7826325333778006</c:v>
                </c:pt>
                <c:pt idx="49">
                  <c:v>-3.1985342614453849</c:v>
                </c:pt>
                <c:pt idx="50">
                  <c:v>-3.1985342614453849</c:v>
                </c:pt>
                <c:pt idx="52">
                  <c:v>-3.9019386579358333</c:v>
                </c:pt>
                <c:pt idx="53">
                  <c:v>-3.9019386579358333</c:v>
                </c:pt>
                <c:pt idx="55">
                  <c:v>-4.6001492267765789</c:v>
                </c:pt>
                <c:pt idx="56">
                  <c:v>-4.6001492267765789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93-EB6E-4EF8-A1D1-1D184E2E4659}"/>
            </c:ext>
          </c:extLst>
        </c:ser>
        <c:ser>
          <c:idx val="14"/>
          <c:order val="1"/>
          <c:tx>
            <c:strRef>
              <c:f>Pretreatment!$Q$23</c:f>
              <c:strCache>
                <c:ptCount val="1"/>
                <c:pt idx="0">
                  <c:v>After Dry Tumbler 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xVal>
            <c:numRef>
              <c:f>Pretreatment!$Q$27:$Q$32</c:f>
              <c:numCache>
                <c:formatCode>General</c:formatCode>
                <c:ptCount val="6"/>
                <c:pt idx="0">
                  <c:v>31.5</c:v>
                </c:pt>
                <c:pt idx="1">
                  <c:v>16</c:v>
                </c:pt>
                <c:pt idx="2">
                  <c:v>8</c:v>
                </c:pt>
                <c:pt idx="3">
                  <c:v>4.75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Pretreatment!$T$27:$T$32</c:f>
              <c:numCache>
                <c:formatCode>General</c:formatCode>
                <c:ptCount val="6"/>
                <c:pt idx="0">
                  <c:v>0.80840088008316235</c:v>
                </c:pt>
                <c:pt idx="1">
                  <c:v>0.28085303521637656</c:v>
                </c:pt>
                <c:pt idx="2">
                  <c:v>-0.18619339995440834</c:v>
                </c:pt>
                <c:pt idx="3">
                  <c:v>-0.56359157956803918</c:v>
                </c:pt>
                <c:pt idx="4">
                  <c:v>-1.1387930383381062</c:v>
                </c:pt>
                <c:pt idx="5">
                  <c:v>-1.6172133694853985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94-EB6E-4EF8-A1D1-1D184E2E4659}"/>
            </c:ext>
          </c:extLst>
        </c:ser>
        <c:ser>
          <c:idx val="0"/>
          <c:order val="2"/>
          <c:tx>
            <c:strRef>
              <c:f>Pretreatment!$Q$37</c:f>
              <c:strCache>
                <c:ptCount val="1"/>
                <c:pt idx="0">
                  <c:v>After Wet Tumbler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Pretreatment!$Q$41:$Q$51</c:f>
              <c:numCache>
                <c:formatCode>General</c:formatCode>
                <c:ptCount val="11"/>
                <c:pt idx="0">
                  <c:v>31.5</c:v>
                </c:pt>
                <c:pt idx="1">
                  <c:v>16</c:v>
                </c:pt>
                <c:pt idx="2">
                  <c:v>8</c:v>
                </c:pt>
                <c:pt idx="3">
                  <c:v>4.75</c:v>
                </c:pt>
                <c:pt idx="4">
                  <c:v>2</c:v>
                </c:pt>
                <c:pt idx="5">
                  <c:v>1</c:v>
                </c:pt>
                <c:pt idx="6">
                  <c:v>0.5</c:v>
                </c:pt>
                <c:pt idx="7">
                  <c:v>0.25</c:v>
                </c:pt>
                <c:pt idx="8">
                  <c:v>0.15</c:v>
                </c:pt>
                <c:pt idx="9">
                  <c:v>7.3999999999999996E-2</c:v>
                </c:pt>
                <c:pt idx="10">
                  <c:v>3.7999999999999999E-2</c:v>
                </c:pt>
              </c:numCache>
            </c:numRef>
          </c:xVal>
          <c:yVal>
            <c:numRef>
              <c:f>Pretreatment!$T$41:$T$51</c:f>
              <c:numCache>
                <c:formatCode>General</c:formatCode>
                <c:ptCount val="11"/>
                <c:pt idx="0">
                  <c:v>0.87896703483539784</c:v>
                </c:pt>
                <c:pt idx="1">
                  <c:v>0.3846706384542809</c:v>
                </c:pt>
                <c:pt idx="2">
                  <c:v>-7.4870413196084465E-2</c:v>
                </c:pt>
                <c:pt idx="3">
                  <c:v>-0.44600332261647491</c:v>
                </c:pt>
                <c:pt idx="4">
                  <c:v>-1.04270586941636</c:v>
                </c:pt>
                <c:pt idx="5">
                  <c:v>-1.427026405095978</c:v>
                </c:pt>
                <c:pt idx="6">
                  <c:v>-1.6974021402945971</c:v>
                </c:pt>
                <c:pt idx="7">
                  <c:v>-2.2908033288792011</c:v>
                </c:pt>
                <c:pt idx="8">
                  <c:v>-2.7022847849322287</c:v>
                </c:pt>
                <c:pt idx="9">
                  <c:v>-3.5157271310471936</c:v>
                </c:pt>
                <c:pt idx="10">
                  <c:v>-3.9628972273663687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96-EB6E-4EF8-A1D1-1D184E2E4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723312"/>
        <c:axId val="418720568"/>
      </c:scatterChart>
      <c:valAx>
        <c:axId val="418723312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Size (mm)</a:t>
                </a:r>
              </a:p>
            </c:rich>
          </c:tx>
          <c:layout>
            <c:manualLayout>
              <c:xMode val="edge"/>
              <c:yMode val="edge"/>
              <c:x val="0.40834036733260515"/>
              <c:y val="0.9490489851311426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18720568"/>
        <c:crossesAt val="-5"/>
        <c:crossBetween val="midCat"/>
      </c:valAx>
      <c:valAx>
        <c:axId val="418720568"/>
        <c:scaling>
          <c:orientation val="minMax"/>
          <c:max val="2"/>
          <c:min val="-5"/>
        </c:scaling>
        <c:delete val="1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Undersize</a:t>
                </a:r>
              </a:p>
            </c:rich>
          </c:tx>
          <c:layout>
            <c:manualLayout>
              <c:xMode val="edge"/>
              <c:yMode val="edge"/>
              <c:x val="7.4281339832520934E-3"/>
              <c:y val="0.34210171622117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418723312"/>
        <c:crossesAt val="0.1"/>
        <c:crossBetween val="midCat"/>
      </c:valAx>
      <c:spPr>
        <a:solidFill>
          <a:schemeClr val="accent6">
            <a:lumMod val="20000"/>
            <a:lumOff val="80000"/>
          </a:schemeClr>
        </a:solidFill>
        <a:ln w="25400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99396385979438"/>
          <c:y val="0.59842770671513534"/>
          <c:w val="0.17366884330571913"/>
          <c:h val="0.150975278143381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0.75" l="0.75" r="0.75" t="0.75" header="0.5" footer="0.5"/>
    <c:pageSetup paperSize="9" orientation="landscape" blackAndWhite="1" horizontalDpi="-4" verticalDpi="-4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-50+16mm composite </a:t>
            </a:r>
          </a:p>
        </c:rich>
      </c:tx>
      <c:layout>
        <c:manualLayout>
          <c:xMode val="edge"/>
          <c:yMode val="edge"/>
          <c:x val="0.1889889192246155"/>
          <c:y val="1.38528176303828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sink'!$Q$10:$AA$10</c:f>
              <c:strCache>
                <c:ptCount val="1"/>
                <c:pt idx="0">
                  <c:v>-50mm+16mm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sink'!$N$11:$N$24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sink'!$S$11:$S$24</c:f>
              <c:numCache>
                <c:formatCode>0.00</c:formatCode>
                <c:ptCount val="14"/>
                <c:pt idx="0">
                  <c:v>4</c:v>
                </c:pt>
                <c:pt idx="1">
                  <c:v>8</c:v>
                </c:pt>
                <c:pt idx="2">
                  <c:v>11.10438118312134</c:v>
                </c:pt>
                <c:pt idx="3">
                  <c:v>15.159171298635675</c:v>
                </c:pt>
                <c:pt idx="4">
                  <c:v>18.244267097686635</c:v>
                </c:pt>
                <c:pt idx="5">
                  <c:v>19.147435251436058</c:v>
                </c:pt>
                <c:pt idx="6">
                  <c:v>21.673234313428313</c:v>
                </c:pt>
                <c:pt idx="7">
                  <c:v>25.85301837270341</c:v>
                </c:pt>
                <c:pt idx="8">
                  <c:v>31.308646957925536</c:v>
                </c:pt>
                <c:pt idx="9">
                  <c:v>39.249215825154309</c:v>
                </c:pt>
                <c:pt idx="10">
                  <c:v>43.435980551053483</c:v>
                </c:pt>
                <c:pt idx="11">
                  <c:v>50.848146267140677</c:v>
                </c:pt>
                <c:pt idx="12">
                  <c:v>61.130813658932013</c:v>
                </c:pt>
                <c:pt idx="13">
                  <c:v>69.051479529793269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E2C-42C8-A04E-DEE5BEDD0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60008"/>
        <c:axId val="555960400"/>
      </c:scatterChart>
      <c:valAx>
        <c:axId val="555960008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555960400"/>
        <c:crosses val="autoZero"/>
        <c:crossBetween val="midCat"/>
      </c:valAx>
      <c:valAx>
        <c:axId val="555960400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555960008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Composite</a:t>
            </a:r>
          </a:p>
        </c:rich>
      </c:tx>
      <c:layout>
        <c:manualLayout>
          <c:xMode val="edge"/>
          <c:yMode val="edge"/>
          <c:x val="0.41129053783531305"/>
          <c:y val="0.9422158994831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54438411523273E-2"/>
          <c:y val="0.20743323605528333"/>
          <c:w val="0.83507506227326678"/>
          <c:h val="0.7118835691867188"/>
        </c:manualLayout>
      </c:layout>
      <c:scatterChart>
        <c:scatterStyle val="lineMarker"/>
        <c:varyColors val="0"/>
        <c:ser>
          <c:idx val="0"/>
          <c:order val="0"/>
          <c:tx>
            <c:v>Cum Floats, %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'Float sink'!$AQ$11:$AQ$24</c:f>
              <c:numCache>
                <c:formatCode>_(* #,##0.00_);_(* \(#,##0.00\);_(* "-"??_);_(@_)</c:formatCode>
                <c:ptCount val="14"/>
                <c:pt idx="0">
                  <c:v>3.6154897926622578</c:v>
                </c:pt>
                <c:pt idx="1">
                  <c:v>4.9037350149825842</c:v>
                </c:pt>
                <c:pt idx="2">
                  <c:v>6.8646347626315691</c:v>
                </c:pt>
                <c:pt idx="3">
                  <c:v>8.7588456618077526</c:v>
                </c:pt>
                <c:pt idx="4">
                  <c:v>10.554854239895501</c:v>
                </c:pt>
                <c:pt idx="5">
                  <c:v>12.691200393386875</c:v>
                </c:pt>
                <c:pt idx="6">
                  <c:v>14.510995316974281</c:v>
                </c:pt>
                <c:pt idx="7">
                  <c:v>17.292230480844761</c:v>
                </c:pt>
                <c:pt idx="8">
                  <c:v>19.666275135258019</c:v>
                </c:pt>
                <c:pt idx="9">
                  <c:v>21.626517916648229</c:v>
                </c:pt>
                <c:pt idx="10">
                  <c:v>22.131551331116228</c:v>
                </c:pt>
                <c:pt idx="11">
                  <c:v>22.848667787334232</c:v>
                </c:pt>
                <c:pt idx="12">
                  <c:v>23.702540754718161</c:v>
                </c:pt>
                <c:pt idx="13">
                  <c:v>26.704952391511153</c:v>
                </c:pt>
              </c:numCache>
            </c:numRef>
          </c:xVal>
          <c:yVal>
            <c:numRef>
              <c:f>'Float sink'!$AO$11:$AO$24</c:f>
              <c:numCache>
                <c:formatCode>_(* #,##0.00_);_(* \(#,##0.00\);_(* "-"??_);_(@_)</c:formatCode>
                <c:ptCount val="14"/>
                <c:pt idx="0">
                  <c:v>6.562465280739743</c:v>
                </c:pt>
                <c:pt idx="1">
                  <c:v>10.846626732299303</c:v>
                </c:pt>
                <c:pt idx="2">
                  <c:v>16.087663861507124</c:v>
                </c:pt>
                <c:pt idx="3">
                  <c:v>22.031028481635797</c:v>
                </c:pt>
                <c:pt idx="4">
                  <c:v>28.637518446670889</c:v>
                </c:pt>
                <c:pt idx="5">
                  <c:v>38.774483746700639</c:v>
                </c:pt>
                <c:pt idx="6">
                  <c:v>48.893199839038942</c:v>
                </c:pt>
                <c:pt idx="7">
                  <c:v>65.553957587203527</c:v>
                </c:pt>
                <c:pt idx="8">
                  <c:v>78.77399025962184</c:v>
                </c:pt>
                <c:pt idx="9">
                  <c:v>87.656683484311543</c:v>
                </c:pt>
                <c:pt idx="10">
                  <c:v>89.677559325121308</c:v>
                </c:pt>
                <c:pt idx="11">
                  <c:v>91.96587983117297</c:v>
                </c:pt>
                <c:pt idx="12">
                  <c:v>94.169678466934656</c:v>
                </c:pt>
                <c:pt idx="13">
                  <c:v>100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C42-4555-AA4C-F5ADB26627DF}"/>
            </c:ext>
          </c:extLst>
        </c:ser>
        <c:ser>
          <c:idx val="3"/>
          <c:order val="3"/>
          <c:tx>
            <c:v>Ash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'Float sink'!$AM$11:$AM$24</c:f>
              <c:numCache>
                <c:formatCode>0.00</c:formatCode>
                <c:ptCount val="14"/>
                <c:pt idx="0">
                  <c:v>3.6154897926622578</c:v>
                </c:pt>
                <c:pt idx="1">
                  <c:v>6.8770650680501388</c:v>
                </c:pt>
                <c:pt idx="2">
                  <c:v>10.922829180617544</c:v>
                </c:pt>
                <c:pt idx="3">
                  <c:v>13.886148153992705</c:v>
                </c:pt>
                <c:pt idx="4">
                  <c:v>16.544103651690108</c:v>
                </c:pt>
                <c:pt idx="5">
                  <c:v>18.726502929038652</c:v>
                </c:pt>
                <c:pt idx="6">
                  <c:v>21.484370994585806</c:v>
                </c:pt>
                <c:pt idx="7">
                  <c:v>25.454133361970442</c:v>
                </c:pt>
                <c:pt idx="8">
                  <c:v>31.438411138388254</c:v>
                </c:pt>
                <c:pt idx="9">
                  <c:v>39.010451129440298</c:v>
                </c:pt>
                <c:pt idx="10">
                  <c:v>44.037674046346226</c:v>
                </c:pt>
                <c:pt idx="11">
                  <c:v>50.951922281378891</c:v>
                </c:pt>
                <c:pt idx="12">
                  <c:v>59.335187692253164</c:v>
                </c:pt>
                <c:pt idx="13">
                  <c:v>75.199042615987707</c:v>
                </c:pt>
              </c:numCache>
            </c:numRef>
          </c:xVal>
          <c:yVal>
            <c:numRef>
              <c:f>'Float sink'!$AU$11:$AU$24</c:f>
              <c:numCache>
                <c:formatCode>0.00</c:formatCode>
                <c:ptCount val="14"/>
                <c:pt idx="0" formatCode="_(* #,##0.00_);_(* \(#,##0.00\);_(* &quot;-&quot;??_);_(@_)">
                  <c:v>3.2812326403698715</c:v>
                </c:pt>
                <c:pt idx="1">
                  <c:v>8.7045460065195233</c:v>
                </c:pt>
                <c:pt idx="2">
                  <c:v>13.467145296903213</c:v>
                </c:pt>
                <c:pt idx="3">
                  <c:v>19.059346171571462</c:v>
                </c:pt>
                <c:pt idx="4">
                  <c:v>25.334273464153341</c:v>
                </c:pt>
                <c:pt idx="5">
                  <c:v>33.706001096685767</c:v>
                </c:pt>
                <c:pt idx="6">
                  <c:v>43.833841792869791</c:v>
                </c:pt>
                <c:pt idx="7">
                  <c:v>57.223578713121235</c:v>
                </c:pt>
                <c:pt idx="8">
                  <c:v>72.163973923412684</c:v>
                </c:pt>
                <c:pt idx="9">
                  <c:v>83.215336871966684</c:v>
                </c:pt>
                <c:pt idx="10">
                  <c:v>88.667121404716426</c:v>
                </c:pt>
                <c:pt idx="11">
                  <c:v>90.821719578147139</c:v>
                </c:pt>
                <c:pt idx="12">
                  <c:v>93.067779149053806</c:v>
                </c:pt>
                <c:pt idx="13">
                  <c:v>97.084839233467335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9-AC42-4555-AA4C-F5ADB26627DF}"/>
            </c:ext>
          </c:extLst>
        </c:ser>
        <c:ser>
          <c:idx val="4"/>
          <c:order val="4"/>
          <c:tx>
            <c:v>+/-0.1 RD curve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'Float sink'!$AJ$11:$AJ$24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sink'!$AV$11:$AV$24</c:f>
              <c:numCache>
                <c:formatCode>General</c:formatCode>
                <c:ptCount val="14"/>
                <c:pt idx="2" formatCode="0.00">
                  <c:v>22.075053165931145</c:v>
                </c:pt>
                <c:pt idx="3" formatCode="0.00">
                  <c:v>27.927857014401336</c:v>
                </c:pt>
                <c:pt idx="4" formatCode="0.00">
                  <c:v>32.805535977531818</c:v>
                </c:pt>
                <c:pt idx="5" formatCode="0.00">
                  <c:v>43.522929105567727</c:v>
                </c:pt>
                <c:pt idx="6" formatCode="0.00">
                  <c:v>50.136471812950958</c:v>
                </c:pt>
                <c:pt idx="8" formatCode="0.00">
                  <c:v>38.763483645272601</c:v>
                </c:pt>
                <c:pt idx="9" formatCode="0.00">
                  <c:v>10.903569065499472</c:v>
                </c:pt>
                <c:pt idx="10" formatCode="0.00">
                  <c:v>4.3091963468614267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A-AC42-4555-AA4C-F5ADB266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61576"/>
        <c:axId val="555960792"/>
      </c:scatterChart>
      <c:scatterChart>
        <c:scatterStyle val="lineMarker"/>
        <c:varyColors val="0"/>
        <c:ser>
          <c:idx val="1"/>
          <c:order val="1"/>
          <c:tx>
            <c:v>Cum Sinks, %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'Float sink'!$AT$11:$AT$24</c:f>
              <c:numCache>
                <c:formatCode>0.00</c:formatCode>
                <c:ptCount val="14"/>
                <c:pt idx="0">
                  <c:v>26.704952391511153</c:v>
                </c:pt>
                <c:pt idx="1">
                  <c:v>28.326611151142906</c:v>
                </c:pt>
                <c:pt idx="2">
                  <c:v>29.357344090509184</c:v>
                </c:pt>
                <c:pt idx="3">
                  <c:v>30.508735906632833</c:v>
                </c:pt>
                <c:pt idx="4">
                  <c:v>31.775830983303894</c:v>
                </c:pt>
                <c:pt idx="5">
                  <c:v>33.185931242937627</c:v>
                </c:pt>
                <c:pt idx="6">
                  <c:v>35.579944916417489</c:v>
                </c:pt>
                <c:pt idx="7">
                  <c:v>38.370749862615874</c:v>
                </c:pt>
                <c:pt idx="8">
                  <c:v>44.618219916338298</c:v>
                </c:pt>
                <c:pt idx="9">
                  <c:v>52.826899022391572</c:v>
                </c:pt>
                <c:pt idx="10">
                  <c:v>62.769710416072442</c:v>
                </c:pt>
                <c:pt idx="11">
                  <c:v>66.436974868449113</c:v>
                </c:pt>
                <c:pt idx="12">
                  <c:v>70.847509267694292</c:v>
                </c:pt>
                <c:pt idx="13">
                  <c:v>75.199042615987707</c:v>
                </c:pt>
              </c:numCache>
            </c:numRef>
          </c:xVal>
          <c:yVal>
            <c:numRef>
              <c:f>'Float sink'!$AR$11:$AR$24</c:f>
              <c:numCache>
                <c:formatCode>_(* #,##0.00_);_(* \(#,##0.00\);_(* "-"??_);_(@_)</c:formatCode>
                <c:ptCount val="14"/>
                <c:pt idx="0">
                  <c:v>100</c:v>
                </c:pt>
                <c:pt idx="1">
                  <c:v>93.437534719260256</c:v>
                </c:pt>
                <c:pt idx="2">
                  <c:v>89.153373267700701</c:v>
                </c:pt>
                <c:pt idx="3">
                  <c:v>83.912336138492876</c:v>
                </c:pt>
                <c:pt idx="4">
                  <c:v>77.968971518364199</c:v>
                </c:pt>
                <c:pt idx="5">
                  <c:v>71.362481553329118</c:v>
                </c:pt>
                <c:pt idx="6">
                  <c:v>61.225516253299361</c:v>
                </c:pt>
                <c:pt idx="7">
                  <c:v>51.106800160961058</c:v>
                </c:pt>
                <c:pt idx="8">
                  <c:v>34.44604241279648</c:v>
                </c:pt>
                <c:pt idx="9">
                  <c:v>21.226009740378156</c:v>
                </c:pt>
                <c:pt idx="10">
                  <c:v>12.343316515688457</c:v>
                </c:pt>
                <c:pt idx="11">
                  <c:v>10.322440674878688</c:v>
                </c:pt>
                <c:pt idx="12">
                  <c:v>8.0341201688270303</c:v>
                </c:pt>
                <c:pt idx="13">
                  <c:v>5.8303215330653417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C42-4555-AA4C-F5ADB26627DF}"/>
            </c:ext>
          </c:extLst>
        </c:ser>
        <c:ser>
          <c:idx val="2"/>
          <c:order val="2"/>
          <c:tx>
            <c:v>Relative Density 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'Float sink'!$AJ$11:$AJ$24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sink'!$AO$11:$AO$24</c:f>
              <c:numCache>
                <c:formatCode>_(* #,##0.00_);_(* \(#,##0.00\);_(* "-"??_);_(@_)</c:formatCode>
                <c:ptCount val="14"/>
                <c:pt idx="0">
                  <c:v>6.562465280739743</c:v>
                </c:pt>
                <c:pt idx="1">
                  <c:v>10.846626732299303</c:v>
                </c:pt>
                <c:pt idx="2">
                  <c:v>16.087663861507124</c:v>
                </c:pt>
                <c:pt idx="3">
                  <c:v>22.031028481635797</c:v>
                </c:pt>
                <c:pt idx="4">
                  <c:v>28.637518446670889</c:v>
                </c:pt>
                <c:pt idx="5">
                  <c:v>38.774483746700639</c:v>
                </c:pt>
                <c:pt idx="6">
                  <c:v>48.893199839038942</c:v>
                </c:pt>
                <c:pt idx="7">
                  <c:v>65.553957587203527</c:v>
                </c:pt>
                <c:pt idx="8">
                  <c:v>78.77399025962184</c:v>
                </c:pt>
                <c:pt idx="9">
                  <c:v>87.656683484311543</c:v>
                </c:pt>
                <c:pt idx="10">
                  <c:v>89.677559325121308</c:v>
                </c:pt>
                <c:pt idx="11">
                  <c:v>91.96587983117297</c:v>
                </c:pt>
                <c:pt idx="12">
                  <c:v>94.169678466934656</c:v>
                </c:pt>
                <c:pt idx="13">
                  <c:v>100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8-AC42-4555-AA4C-F5ADB266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56088"/>
        <c:axId val="555959616"/>
      </c:scatterChart>
      <c:valAx>
        <c:axId val="55596157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5960792"/>
        <c:crosses val="autoZero"/>
        <c:crossBetween val="midCat"/>
        <c:majorUnit val="5"/>
        <c:minorUnit val="1"/>
      </c:valAx>
      <c:valAx>
        <c:axId val="555960792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rgbClr val="99CC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Cum Float,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5961576"/>
        <c:crosses val="autoZero"/>
        <c:crossBetween val="midCat"/>
        <c:minorUnit val="5"/>
      </c:valAx>
      <c:valAx>
        <c:axId val="555959616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Cum Sink,</a:t>
                </a:r>
                <a:r>
                  <a:rPr lang="en-US" sz="1200" b="1" baseline="0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%</a:t>
                </a:r>
                <a:endParaRPr lang="en-US" sz="1200" b="1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4945934010540578"/>
              <c:y val="0.3884546470526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5956088"/>
        <c:crosses val="max"/>
        <c:crossBetween val="midCat"/>
        <c:minorUnit val="5"/>
      </c:valAx>
      <c:valAx>
        <c:axId val="555956088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Ash, dry %</a:t>
                </a:r>
              </a:p>
            </c:rich>
          </c:tx>
          <c:layout>
            <c:manualLayout>
              <c:xMode val="edge"/>
              <c:yMode val="edge"/>
              <c:x val="0.43127258887440711"/>
              <c:y val="0.24448692341130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" sourceLinked="0"/>
        <c:majorTickMark val="in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59616"/>
        <c:crosses val="max"/>
        <c:crossBetween val="midCat"/>
        <c:majorUnit val="7"/>
        <c:minorUnit val="1"/>
      </c:valAx>
      <c:spPr>
        <a:solidFill>
          <a:schemeClr val="accent4">
            <a:lumMod val="20000"/>
            <a:lumOff val="80000"/>
          </a:schemeClr>
        </a:solidFill>
        <a:ln w="28575">
          <a:solidFill>
            <a:srgbClr val="002060"/>
          </a:solidFill>
        </a:ln>
        <a:effectLst/>
      </c:spPr>
    </c:plotArea>
    <c:legend>
      <c:legendPos val="r"/>
      <c:layout>
        <c:manualLayout>
          <c:xMode val="edge"/>
          <c:yMode val="edge"/>
          <c:x val="0.67436040031995836"/>
          <c:y val="0.49965264050731523"/>
          <c:w val="0.16271753849240184"/>
          <c:h val="0.2340687462144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-16+8mm</a:t>
            </a:r>
          </a:p>
        </c:rich>
      </c:tx>
      <c:layout>
        <c:manualLayout>
          <c:xMode val="edge"/>
          <c:yMode val="edge"/>
          <c:x val="0.39053921748153581"/>
          <c:y val="4.28384495416333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sink'!$Q$26:$AA$26</c:f>
              <c:strCache>
                <c:ptCount val="1"/>
                <c:pt idx="0">
                  <c:v>-16+8mm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sink'!$N$27:$N$40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sink'!$S$27:$S$40</c:f>
              <c:numCache>
                <c:formatCode>0.00</c:formatCode>
                <c:ptCount val="14"/>
                <c:pt idx="0">
                  <c:v>6.0884491114701129</c:v>
                </c:pt>
                <c:pt idx="1">
                  <c:v>9.4704992435703481</c:v>
                </c:pt>
                <c:pt idx="2">
                  <c:v>11.860816944024204</c:v>
                </c:pt>
                <c:pt idx="3">
                  <c:v>15.226378945245537</c:v>
                </c:pt>
                <c:pt idx="4">
                  <c:v>16.888485581770517</c:v>
                </c:pt>
                <c:pt idx="5">
                  <c:v>19.348659003831418</c:v>
                </c:pt>
                <c:pt idx="6">
                  <c:v>22.325299989916306</c:v>
                </c:pt>
                <c:pt idx="7">
                  <c:v>25.563607085346217</c:v>
                </c:pt>
                <c:pt idx="8">
                  <c:v>31.902026005443002</c:v>
                </c:pt>
                <c:pt idx="9">
                  <c:v>39.48961065160379</c:v>
                </c:pt>
                <c:pt idx="10">
                  <c:v>47.333871945061603</c:v>
                </c:pt>
                <c:pt idx="11">
                  <c:v>55.498929772704109</c:v>
                </c:pt>
                <c:pt idx="12">
                  <c:v>57.493382203217266</c:v>
                </c:pt>
                <c:pt idx="13">
                  <c:v>71.605063291139231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EA9-4001-90EC-928D47AE3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59224"/>
        <c:axId val="555956872"/>
      </c:scatterChart>
      <c:valAx>
        <c:axId val="555959224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555956872"/>
        <c:crosses val="autoZero"/>
        <c:crossBetween val="midCat"/>
      </c:valAx>
      <c:valAx>
        <c:axId val="555956872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555959224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sink'!$Q$42:$AA$42</c:f>
              <c:strCache>
                <c:ptCount val="1"/>
                <c:pt idx="0">
                  <c:v>-8+2mm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sink'!$N$43:$N$56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sink'!$S$43:$S$56</c:f>
              <c:numCache>
                <c:formatCode>0.00</c:formatCode>
                <c:ptCount val="14"/>
                <c:pt idx="0">
                  <c:v>5.3443581728345269</c:v>
                </c:pt>
                <c:pt idx="1">
                  <c:v>8.7478559176672377</c:v>
                </c:pt>
                <c:pt idx="2">
                  <c:v>11.460855528652138</c:v>
                </c:pt>
                <c:pt idx="3">
                  <c:v>13.739533945324322</c:v>
                </c:pt>
                <c:pt idx="4">
                  <c:v>16.296670030272452</c:v>
                </c:pt>
                <c:pt idx="5">
                  <c:v>18.331315577078289</c:v>
                </c:pt>
                <c:pt idx="6">
                  <c:v>21.300222087623663</c:v>
                </c:pt>
                <c:pt idx="7">
                  <c:v>25.491976990614592</c:v>
                </c:pt>
                <c:pt idx="8">
                  <c:v>31.748435291742378</c:v>
                </c:pt>
                <c:pt idx="9">
                  <c:v>38.946730011118973</c:v>
                </c:pt>
                <c:pt idx="10">
                  <c:v>45.33589639821934</c:v>
                </c:pt>
                <c:pt idx="11">
                  <c:v>52.768696362893344</c:v>
                </c:pt>
                <c:pt idx="12">
                  <c:v>61.274966366552832</c:v>
                </c:pt>
                <c:pt idx="13">
                  <c:v>78.854625550660799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0B3-41A1-9920-33EDB6CE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57656"/>
        <c:axId val="555958440"/>
      </c:scatterChart>
      <c:valAx>
        <c:axId val="555957656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555958440"/>
        <c:crosses val="autoZero"/>
        <c:crossBetween val="midCat"/>
      </c:valAx>
      <c:valAx>
        <c:axId val="555958440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555957656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sink'!$Q$58:$AA$58</c:f>
              <c:strCache>
                <c:ptCount val="1"/>
                <c:pt idx="0">
                  <c:v>-2+0.5mm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sink'!$N$59:$N$72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sink'!$S$59:$S$72</c:f>
              <c:numCache>
                <c:formatCode>0.00</c:formatCode>
                <c:ptCount val="14"/>
                <c:pt idx="0">
                  <c:v>2.2345803842264913</c:v>
                </c:pt>
                <c:pt idx="1">
                  <c:v>4.6074568050924514</c:v>
                </c:pt>
                <c:pt idx="2">
                  <c:v>9.8373901626098377</c:v>
                </c:pt>
                <c:pt idx="3">
                  <c:v>12.907787092212907</c:v>
                </c:pt>
                <c:pt idx="4">
                  <c:v>15.494949494949495</c:v>
                </c:pt>
                <c:pt idx="5">
                  <c:v>17.904415479438214</c:v>
                </c:pt>
                <c:pt idx="6">
                  <c:v>19.997978981406629</c:v>
                </c:pt>
                <c:pt idx="7">
                  <c:v>24.254674077817079</c:v>
                </c:pt>
                <c:pt idx="8">
                  <c:v>30.830719417181019</c:v>
                </c:pt>
                <c:pt idx="9">
                  <c:v>37.656012176560125</c:v>
                </c:pt>
                <c:pt idx="10">
                  <c:v>41.691228783412946</c:v>
                </c:pt>
                <c:pt idx="11">
                  <c:v>49.852687188865183</c:v>
                </c:pt>
                <c:pt idx="12">
                  <c:v>58.169801728520596</c:v>
                </c:pt>
                <c:pt idx="13">
                  <c:v>79.220244830778739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F15-45EB-B698-368599EAA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58832"/>
        <c:axId val="421889728"/>
      </c:scatterChart>
      <c:valAx>
        <c:axId val="555958832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421889728"/>
        <c:crosses val="autoZero"/>
        <c:crossBetween val="midCat"/>
      </c:valAx>
      <c:valAx>
        <c:axId val="421889728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555958832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sink'!$Q$74:$AA$74</c:f>
              <c:strCache>
                <c:ptCount val="1"/>
                <c:pt idx="0">
                  <c:v>-0.5+0.25mm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sink'!$N$75:$N$88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sink'!$S$75:$S$88</c:f>
              <c:numCache>
                <c:formatCode>0.00</c:formatCode>
                <c:ptCount val="14"/>
                <c:pt idx="0">
                  <c:v>3.0202020202020203</c:v>
                </c:pt>
                <c:pt idx="1">
                  <c:v>8.9258698940998489</c:v>
                </c:pt>
                <c:pt idx="2">
                  <c:v>10.102843315184513</c:v>
                </c:pt>
                <c:pt idx="3">
                  <c:v>11.689359556227936</c:v>
                </c:pt>
                <c:pt idx="4">
                  <c:v>14.590890769850867</c:v>
                </c:pt>
                <c:pt idx="5">
                  <c:v>16.935321378198665</c:v>
                </c:pt>
                <c:pt idx="6">
                  <c:v>18.981341401916286</c:v>
                </c:pt>
                <c:pt idx="7">
                  <c:v>22.969977835986299</c:v>
                </c:pt>
                <c:pt idx="8">
                  <c:v>29.067420266451354</c:v>
                </c:pt>
                <c:pt idx="9">
                  <c:v>35.638459205338187</c:v>
                </c:pt>
                <c:pt idx="10">
                  <c:v>39.24780103124052</c:v>
                </c:pt>
                <c:pt idx="11">
                  <c:v>47.482814395471088</c:v>
                </c:pt>
                <c:pt idx="12">
                  <c:v>57.228063081277796</c:v>
                </c:pt>
                <c:pt idx="13">
                  <c:v>69.588045234248781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2E5-4B61-A218-DD392C4A3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90512"/>
        <c:axId val="361854984"/>
      </c:scatterChart>
      <c:valAx>
        <c:axId val="421890512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61854984"/>
        <c:crosses val="autoZero"/>
        <c:crossBetween val="midCat"/>
      </c:valAx>
      <c:valAx>
        <c:axId val="361854984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21890512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-50mm+8.0mm Composite</a:t>
            </a:r>
          </a:p>
        </c:rich>
      </c:tx>
      <c:layout>
        <c:manualLayout>
          <c:xMode val="edge"/>
          <c:yMode val="edge"/>
          <c:x val="0.41129053783531305"/>
          <c:y val="0.9422158994831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54438411523273E-2"/>
          <c:y val="0.20743323605528333"/>
          <c:w val="0.83507506227326678"/>
          <c:h val="0.7118835691867188"/>
        </c:manualLayout>
      </c:layout>
      <c:scatterChart>
        <c:scatterStyle val="lineMarker"/>
        <c:varyColors val="0"/>
        <c:ser>
          <c:idx val="0"/>
          <c:order val="0"/>
          <c:tx>
            <c:v>Cum Floats, %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'Float sink'!$AQ$27:$AQ$40</c:f>
              <c:numCache>
                <c:formatCode>_(* #,##0.00_);_(* \(#,##0.00\);_(* "-"??_);_(@_)</c:formatCode>
                <c:ptCount val="14"/>
                <c:pt idx="0">
                  <c:v>6.0884479790725274</c:v>
                </c:pt>
                <c:pt idx="1">
                  <c:v>8.4375193234692496</c:v>
                </c:pt>
                <c:pt idx="2">
                  <c:v>10.905600429249724</c:v>
                </c:pt>
                <c:pt idx="3">
                  <c:v>13.325012437991868</c:v>
                </c:pt>
                <c:pt idx="4">
                  <c:v>15.18397135264885</c:v>
                </c:pt>
                <c:pt idx="5">
                  <c:v>17.173646754187917</c:v>
                </c:pt>
                <c:pt idx="6">
                  <c:v>18.761140480137563</c:v>
                </c:pt>
                <c:pt idx="7">
                  <c:v>21.333222082019681</c:v>
                </c:pt>
                <c:pt idx="8">
                  <c:v>23.531713868730215</c:v>
                </c:pt>
                <c:pt idx="9">
                  <c:v>25.914518282611638</c:v>
                </c:pt>
                <c:pt idx="10">
                  <c:v>26.453712597874468</c:v>
                </c:pt>
                <c:pt idx="11">
                  <c:v>27.037032247944826</c:v>
                </c:pt>
                <c:pt idx="12">
                  <c:v>27.671721434159291</c:v>
                </c:pt>
                <c:pt idx="13">
                  <c:v>29.321210764751278</c:v>
                </c:pt>
              </c:numCache>
            </c:numRef>
          </c:xVal>
          <c:yVal>
            <c:numRef>
              <c:f>'Float sink'!$AO$27:$AO$40</c:f>
              <c:numCache>
                <c:formatCode>_(* #,##0.00_);_(* \(#,##0.00\);_(* "-"??_);_(@_)</c:formatCode>
                <c:ptCount val="14"/>
                <c:pt idx="0">
                  <c:v>0.18938314547339613</c:v>
                </c:pt>
                <c:pt idx="1">
                  <c:v>0.62005431582993076</c:v>
                </c:pt>
                <c:pt idx="2">
                  <c:v>2.985721752768578</c:v>
                </c:pt>
                <c:pt idx="3">
                  <c:v>6.8201036411167797</c:v>
                </c:pt>
                <c:pt idx="4">
                  <c:v>12.796950894683174</c:v>
                </c:pt>
                <c:pt idx="5">
                  <c:v>25.13084461965763</c:v>
                </c:pt>
                <c:pt idx="6">
                  <c:v>37.563789913462259</c:v>
                </c:pt>
                <c:pt idx="7">
                  <c:v>59.555625771751473</c:v>
                </c:pt>
                <c:pt idx="8">
                  <c:v>75.929135803462827</c:v>
                </c:pt>
                <c:pt idx="9">
                  <c:v>89.439280877650404</c:v>
                </c:pt>
                <c:pt idx="10">
                  <c:v>92.136697286092229</c:v>
                </c:pt>
                <c:pt idx="11">
                  <c:v>94.231907485777967</c:v>
                </c:pt>
                <c:pt idx="12">
                  <c:v>96.065459786912328</c:v>
                </c:pt>
                <c:pt idx="13">
                  <c:v>100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2A9-4FBB-9E70-0BF717A7D5BF}"/>
            </c:ext>
          </c:extLst>
        </c:ser>
        <c:ser>
          <c:idx val="3"/>
          <c:order val="3"/>
          <c:tx>
            <c:v>Ash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'Float sink'!$AM$27:$AM$40</c:f>
              <c:numCache>
                <c:formatCode>0.00</c:formatCode>
                <c:ptCount val="14"/>
                <c:pt idx="0">
                  <c:v>6.0884479790725274</c:v>
                </c:pt>
                <c:pt idx="1">
                  <c:v>9.4704988929514116</c:v>
                </c:pt>
                <c:pt idx="2">
                  <c:v>11.552497925306005</c:v>
                </c:pt>
                <c:pt idx="3">
                  <c:v>15.20893826326297</c:v>
                </c:pt>
                <c:pt idx="4">
                  <c:v>17.305205495778978</c:v>
                </c:pt>
                <c:pt idx="5">
                  <c:v>19.238021474581188</c:v>
                </c:pt>
                <c:pt idx="6">
                  <c:v>21.969958440705739</c:v>
                </c:pt>
                <c:pt idx="7">
                  <c:v>25.726540291375269</c:v>
                </c:pt>
                <c:pt idx="8">
                  <c:v>31.5283226507213</c:v>
                </c:pt>
                <c:pt idx="9">
                  <c:v>39.306253081993383</c:v>
                </c:pt>
                <c:pt idx="10">
                  <c:v>44.331987401682824</c:v>
                </c:pt>
                <c:pt idx="11">
                  <c:v>52.688466184083026</c:v>
                </c:pt>
                <c:pt idx="12">
                  <c:v>60.290356114273848</c:v>
                </c:pt>
                <c:pt idx="13">
                  <c:v>69.595027367218478</c:v>
                </c:pt>
              </c:numCache>
            </c:numRef>
          </c:xVal>
          <c:yVal>
            <c:numRef>
              <c:f>'Float sink'!$AU$27:$AU$40</c:f>
              <c:numCache>
                <c:formatCode>0.00</c:formatCode>
                <c:ptCount val="14"/>
                <c:pt idx="0" formatCode="_(* #,##0.00_);_(* \(#,##0.00\);_(* &quot;-&quot;??_);_(@_)">
                  <c:v>9.4691572736698065E-2</c:v>
                </c:pt>
                <c:pt idx="1">
                  <c:v>0.40471873065166347</c:v>
                </c:pt>
                <c:pt idx="2">
                  <c:v>1.8028880342992544</c:v>
                </c:pt>
                <c:pt idx="3">
                  <c:v>4.9029126969426784</c:v>
                </c:pt>
                <c:pt idx="4">
                  <c:v>9.8085272678999775</c:v>
                </c:pt>
                <c:pt idx="5">
                  <c:v>18.9638977571704</c:v>
                </c:pt>
                <c:pt idx="6">
                  <c:v>31.347317266559944</c:v>
                </c:pt>
                <c:pt idx="7">
                  <c:v>48.559707842606869</c:v>
                </c:pt>
                <c:pt idx="8">
                  <c:v>67.742380787607146</c:v>
                </c:pt>
                <c:pt idx="9">
                  <c:v>82.684208340556623</c:v>
                </c:pt>
                <c:pt idx="10">
                  <c:v>90.787989081871316</c:v>
                </c:pt>
                <c:pt idx="11">
                  <c:v>93.184302385935098</c:v>
                </c:pt>
                <c:pt idx="12">
                  <c:v>95.14868363634514</c:v>
                </c:pt>
                <c:pt idx="13">
                  <c:v>98.032729893456164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2A9-4FBB-9E70-0BF717A7D5BF}"/>
            </c:ext>
          </c:extLst>
        </c:ser>
        <c:ser>
          <c:idx val="4"/>
          <c:order val="4"/>
          <c:tx>
            <c:v>+/- RD curve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'Float sink'!$AJ$27:$AJ$40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sink'!$AV$27:$AV$40</c:f>
              <c:numCache>
                <c:formatCode>General</c:formatCode>
                <c:ptCount val="14"/>
                <c:pt idx="2" formatCode="0.00">
                  <c:v>12.607567749209778</c:v>
                </c:pt>
                <c:pt idx="3" formatCode="0.00">
                  <c:v>24.510790303827697</c:v>
                </c:pt>
                <c:pt idx="4" formatCode="0.00">
                  <c:v>34.578068160693682</c:v>
                </c:pt>
                <c:pt idx="5" formatCode="0.00">
                  <c:v>52.735522130634692</c:v>
                </c:pt>
                <c:pt idx="6" formatCode="0.00">
                  <c:v>63.132184908779649</c:v>
                </c:pt>
                <c:pt idx="8" formatCode="0.00">
                  <c:v>51.875490964188145</c:v>
                </c:pt>
                <c:pt idx="9" formatCode="0.00">
                  <c:v>16.207561482629394</c:v>
                </c:pt>
                <c:pt idx="10" formatCode="0.00">
                  <c:v>4.792626608127561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62A9-4FBB-9E70-0BF717A7D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855768"/>
        <c:axId val="362353328"/>
      </c:scatterChart>
      <c:scatterChart>
        <c:scatterStyle val="lineMarker"/>
        <c:varyColors val="0"/>
        <c:ser>
          <c:idx val="1"/>
          <c:order val="1"/>
          <c:tx>
            <c:v>Cum Sinks %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'Float sink'!$AT$27:$AT$40</c:f>
              <c:numCache>
                <c:formatCode>0.00</c:formatCode>
                <c:ptCount val="14"/>
                <c:pt idx="0">
                  <c:v>29.321210764751278</c:v>
                </c:pt>
                <c:pt idx="1">
                  <c:v>29.36529318637184</c:v>
                </c:pt>
                <c:pt idx="2">
                  <c:v>29.451508914136259</c:v>
                </c:pt>
                <c:pt idx="3">
                  <c:v>29.887971548448455</c:v>
                </c:pt>
                <c:pt idx="4">
                  <c:v>30.492018360760778</c:v>
                </c:pt>
                <c:pt idx="5">
                  <c:v>31.395834994055019</c:v>
                </c:pt>
                <c:pt idx="6">
                  <c:v>33.398704922471765</c:v>
                </c:pt>
                <c:pt idx="7">
                  <c:v>35.674515379058022</c:v>
                </c:pt>
                <c:pt idx="8">
                  <c:v>41.083777839542968</c:v>
                </c:pt>
                <c:pt idx="9">
                  <c:v>47.583600202142108</c:v>
                </c:pt>
                <c:pt idx="10">
                  <c:v>58.172667019188388</c:v>
                </c:pt>
                <c:pt idx="11">
                  <c:v>62.920554473427323</c:v>
                </c:pt>
                <c:pt idx="12">
                  <c:v>66.63727290245042</c:v>
                </c:pt>
                <c:pt idx="13">
                  <c:v>69.595027367218478</c:v>
                </c:pt>
              </c:numCache>
            </c:numRef>
          </c:xVal>
          <c:yVal>
            <c:numRef>
              <c:f>'Float sink'!$AR$27:$AR$40</c:f>
              <c:numCache>
                <c:formatCode>_(* #,##0.00_);_(* \(#,##0.00\);_(* "-"??_);_(@_)</c:formatCode>
                <c:ptCount val="14"/>
                <c:pt idx="0">
                  <c:v>100</c:v>
                </c:pt>
                <c:pt idx="1">
                  <c:v>99.8106168545266</c:v>
                </c:pt>
                <c:pt idx="2">
                  <c:v>99.379945684170067</c:v>
                </c:pt>
                <c:pt idx="3">
                  <c:v>97.014278247231417</c:v>
                </c:pt>
                <c:pt idx="4">
                  <c:v>93.179896358883212</c:v>
                </c:pt>
                <c:pt idx="5">
                  <c:v>87.203049105316822</c:v>
                </c:pt>
                <c:pt idx="6">
                  <c:v>74.869155380342363</c:v>
                </c:pt>
                <c:pt idx="7">
                  <c:v>62.436210086537741</c:v>
                </c:pt>
                <c:pt idx="8">
                  <c:v>40.44437422824852</c:v>
                </c:pt>
                <c:pt idx="9">
                  <c:v>24.070864196537176</c:v>
                </c:pt>
                <c:pt idx="10">
                  <c:v>10.560719122349598</c:v>
                </c:pt>
                <c:pt idx="11">
                  <c:v>7.8633027139077782</c:v>
                </c:pt>
                <c:pt idx="12">
                  <c:v>5.7680925142220376</c:v>
                </c:pt>
                <c:pt idx="13">
                  <c:v>3.9345402130876708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62A9-4FBB-9E70-0BF717A7D5BF}"/>
            </c:ext>
          </c:extLst>
        </c:ser>
        <c:ser>
          <c:idx val="2"/>
          <c:order val="2"/>
          <c:tx>
            <c:v>Relative Density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'Float sink'!$AJ$27:$AJ$40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sink'!$AO$27:$AO$40</c:f>
              <c:numCache>
                <c:formatCode>_(* #,##0.00_);_(* \(#,##0.00\);_(* "-"??_);_(@_)</c:formatCode>
                <c:ptCount val="14"/>
                <c:pt idx="0">
                  <c:v>0.18938314547339613</c:v>
                </c:pt>
                <c:pt idx="1">
                  <c:v>0.62005431582993076</c:v>
                </c:pt>
                <c:pt idx="2">
                  <c:v>2.985721752768578</c:v>
                </c:pt>
                <c:pt idx="3">
                  <c:v>6.8201036411167797</c:v>
                </c:pt>
                <c:pt idx="4">
                  <c:v>12.796950894683174</c:v>
                </c:pt>
                <c:pt idx="5">
                  <c:v>25.13084461965763</c:v>
                </c:pt>
                <c:pt idx="6">
                  <c:v>37.563789913462259</c:v>
                </c:pt>
                <c:pt idx="7">
                  <c:v>59.555625771751473</c:v>
                </c:pt>
                <c:pt idx="8">
                  <c:v>75.929135803462827</c:v>
                </c:pt>
                <c:pt idx="9">
                  <c:v>89.439280877650404</c:v>
                </c:pt>
                <c:pt idx="10">
                  <c:v>92.136697286092229</c:v>
                </c:pt>
                <c:pt idx="11">
                  <c:v>94.231907485777967</c:v>
                </c:pt>
                <c:pt idx="12">
                  <c:v>96.065459786912328</c:v>
                </c:pt>
                <c:pt idx="13">
                  <c:v>100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62A9-4FBB-9E70-0BF717A7D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354504"/>
        <c:axId val="362352936"/>
      </c:scatterChart>
      <c:valAx>
        <c:axId val="361855768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2353328"/>
        <c:crosses val="autoZero"/>
        <c:crossBetween val="midCat"/>
        <c:majorUnit val="5"/>
        <c:minorUnit val="1"/>
      </c:valAx>
      <c:valAx>
        <c:axId val="362353328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rgbClr val="99CC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Cum Float,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1855768"/>
        <c:crosses val="autoZero"/>
        <c:crossBetween val="midCat"/>
        <c:minorUnit val="5"/>
      </c:valAx>
      <c:valAx>
        <c:axId val="362352936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Cum Sink,</a:t>
                </a:r>
                <a:r>
                  <a:rPr lang="en-US" sz="1200" b="1" baseline="0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%</a:t>
                </a:r>
                <a:endParaRPr lang="en-US" sz="1200" b="1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4945934010540578"/>
              <c:y val="0.3884546470526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2354504"/>
        <c:crosses val="max"/>
        <c:crossBetween val="midCat"/>
        <c:minorUnit val="5"/>
      </c:valAx>
      <c:valAx>
        <c:axId val="36235450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Ash, dry %</a:t>
                </a:r>
              </a:p>
            </c:rich>
          </c:tx>
          <c:layout>
            <c:manualLayout>
              <c:xMode val="edge"/>
              <c:yMode val="edge"/>
              <c:x val="0.44825768594212345"/>
              <c:y val="0.23224918782005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" sourceLinked="0"/>
        <c:majorTickMark val="in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352936"/>
        <c:crosses val="max"/>
        <c:crossBetween val="midCat"/>
        <c:majorUnit val="7"/>
        <c:minorUnit val="1"/>
      </c:valAx>
      <c:spPr>
        <a:solidFill>
          <a:schemeClr val="accent6">
            <a:lumMod val="20000"/>
            <a:lumOff val="80000"/>
          </a:schemeClr>
        </a:solidFill>
        <a:ln w="28575">
          <a:solidFill>
            <a:srgbClr val="002060"/>
          </a:solidFill>
        </a:ln>
        <a:effectLst/>
      </c:spPr>
    </c:plotArea>
    <c:legend>
      <c:legendPos val="r"/>
      <c:layout>
        <c:manualLayout>
          <c:xMode val="edge"/>
          <c:yMode val="edge"/>
          <c:x val="0.67436040031995836"/>
          <c:y val="0.49965264050731523"/>
          <c:w val="0.16271753849240184"/>
          <c:h val="0.2340687462144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-2mm+0.25mm Composite</a:t>
            </a:r>
          </a:p>
        </c:rich>
      </c:tx>
      <c:layout>
        <c:manualLayout>
          <c:xMode val="edge"/>
          <c:yMode val="edge"/>
          <c:x val="0.41129053783531305"/>
          <c:y val="0.9422158994831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54438411523273E-2"/>
          <c:y val="0.20743323605528333"/>
          <c:w val="0.83507506227326678"/>
          <c:h val="0.7118835691867188"/>
        </c:manualLayout>
      </c:layout>
      <c:scatterChart>
        <c:scatterStyle val="lineMarker"/>
        <c:varyColors val="0"/>
        <c:ser>
          <c:idx val="0"/>
          <c:order val="0"/>
          <c:tx>
            <c:v>Cum Floats, %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'Float sink'!$AQ$59:$AQ$72</c:f>
              <c:numCache>
                <c:formatCode>_(* #,##0.00_);_(* \(#,##0.00\);_(* "-"??_);_(@_)</c:formatCode>
                <c:ptCount val="14"/>
                <c:pt idx="0">
                  <c:v>2.6397351866854288</c:v>
                </c:pt>
                <c:pt idx="1">
                  <c:v>3.8054860595827198</c:v>
                </c:pt>
                <c:pt idx="2">
                  <c:v>5.1112299236155199</c:v>
                </c:pt>
                <c:pt idx="3">
                  <c:v>6.0980466559336834</c:v>
                </c:pt>
                <c:pt idx="4">
                  <c:v>6.9244610668713023</c:v>
                </c:pt>
                <c:pt idx="5">
                  <c:v>8.0224344160783563</c:v>
                </c:pt>
                <c:pt idx="6">
                  <c:v>9.0132446527120234</c:v>
                </c:pt>
                <c:pt idx="7">
                  <c:v>10.82941277199539</c:v>
                </c:pt>
                <c:pt idx="8">
                  <c:v>12.885925665739624</c:v>
                </c:pt>
                <c:pt idx="9">
                  <c:v>14.01700071458221</c:v>
                </c:pt>
                <c:pt idx="10">
                  <c:v>14.488064935324005</c:v>
                </c:pt>
                <c:pt idx="11">
                  <c:v>15.962799789163105</c:v>
                </c:pt>
                <c:pt idx="12">
                  <c:v>17.841579431595679</c:v>
                </c:pt>
                <c:pt idx="13">
                  <c:v>23.565762591044553</c:v>
                </c:pt>
              </c:numCache>
            </c:numRef>
          </c:xVal>
          <c:yVal>
            <c:numRef>
              <c:f>'Float sink'!$AO$59:$AO$72</c:f>
              <c:numCache>
                <c:formatCode>_(* #,##0.00_);_(* \(#,##0.00\);_(* "-"??_);_(@_)</c:formatCode>
                <c:ptCount val="14"/>
                <c:pt idx="0">
                  <c:v>18.97965333749713</c:v>
                </c:pt>
                <c:pt idx="1">
                  <c:v>30.877736978028089</c:v>
                </c:pt>
                <c:pt idx="2">
                  <c:v>39.293099902929384</c:v>
                </c:pt>
                <c:pt idx="3">
                  <c:v>45.305844951385467</c:v>
                </c:pt>
                <c:pt idx="4">
                  <c:v>49.782137858286838</c:v>
                </c:pt>
                <c:pt idx="5">
                  <c:v>55.471349956364591</c:v>
                </c:pt>
                <c:pt idx="6">
                  <c:v>60.596278600845977</c:v>
                </c:pt>
                <c:pt idx="7">
                  <c:v>68.988129179010571</c:v>
                </c:pt>
                <c:pt idx="8">
                  <c:v>77.111276900050342</c:v>
                </c:pt>
                <c:pt idx="9">
                  <c:v>80.891269932540382</c:v>
                </c:pt>
                <c:pt idx="10">
                  <c:v>82.336416684568022</c:v>
                </c:pt>
                <c:pt idx="11">
                  <c:v>86.134763623316388</c:v>
                </c:pt>
                <c:pt idx="12">
                  <c:v>90.221733763631363</c:v>
                </c:pt>
                <c:pt idx="13">
                  <c:v>100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AB2-4BAB-9842-2B3CFB6AB0EB}"/>
            </c:ext>
          </c:extLst>
        </c:ser>
        <c:ser>
          <c:idx val="3"/>
          <c:order val="3"/>
          <c:tx>
            <c:v>Ash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'Float sink'!$AM$59:$AM$72</c:f>
              <c:numCache>
                <c:formatCode>0.00</c:formatCode>
                <c:ptCount val="14"/>
                <c:pt idx="0">
                  <c:v>2.6397351866854288</c:v>
                </c:pt>
                <c:pt idx="1">
                  <c:v>5.665075226539348</c:v>
                </c:pt>
                <c:pt idx="2">
                  <c:v>9.9022788604326752</c:v>
                </c:pt>
                <c:pt idx="3">
                  <c:v>12.546862984644694</c:v>
                </c:pt>
                <c:pt idx="4">
                  <c:v>15.28883845374977</c:v>
                </c:pt>
                <c:pt idx="5">
                  <c:v>17.629996885654521</c:v>
                </c:pt>
                <c:pt idx="6">
                  <c:v>19.73760496860405</c:v>
                </c:pt>
                <c:pt idx="7">
                  <c:v>23.943686949901377</c:v>
                </c:pt>
                <c:pt idx="8">
                  <c:v>30.351442980469432</c:v>
                </c:pt>
                <c:pt idx="9">
                  <c:v>37.090757871373633</c:v>
                </c:pt>
                <c:pt idx="10">
                  <c:v>40.855617560773339</c:v>
                </c:pt>
                <c:pt idx="11">
                  <c:v>47.93049136210923</c:v>
                </c:pt>
                <c:pt idx="12">
                  <c:v>57.437719076686541</c:v>
                </c:pt>
                <c:pt idx="13">
                  <c:v>76.381437327453824</c:v>
                </c:pt>
              </c:numCache>
            </c:numRef>
          </c:xVal>
          <c:yVal>
            <c:numRef>
              <c:f>'Float sink'!$AU$59:$AU$72</c:f>
              <c:numCache>
                <c:formatCode>0.00</c:formatCode>
                <c:ptCount val="14"/>
                <c:pt idx="0" formatCode="_(* #,##0.00_);_(* \(#,##0.00\);_(* &quot;-&quot;??_);_(@_)">
                  <c:v>9.4898266687485648</c:v>
                </c:pt>
                <c:pt idx="1">
                  <c:v>24.928695157762611</c:v>
                </c:pt>
                <c:pt idx="2">
                  <c:v>35.085418440478733</c:v>
                </c:pt>
                <c:pt idx="3">
                  <c:v>42.299472427157426</c:v>
                </c:pt>
                <c:pt idx="4">
                  <c:v>47.543991404836149</c:v>
                </c:pt>
                <c:pt idx="5">
                  <c:v>52.626743907325711</c:v>
                </c:pt>
                <c:pt idx="6">
                  <c:v>58.033814278605284</c:v>
                </c:pt>
                <c:pt idx="7">
                  <c:v>64.792203889928274</c:v>
                </c:pt>
                <c:pt idx="8">
                  <c:v>73.049703039530456</c:v>
                </c:pt>
                <c:pt idx="9">
                  <c:v>79.001273416295362</c:v>
                </c:pt>
                <c:pt idx="10">
                  <c:v>81.613843308554195</c:v>
                </c:pt>
                <c:pt idx="11">
                  <c:v>84.235590153942212</c:v>
                </c:pt>
                <c:pt idx="12">
                  <c:v>88.178248693473876</c:v>
                </c:pt>
                <c:pt idx="13">
                  <c:v>95.110866881815681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AB2-4BAB-9842-2B3CFB6AB0EB}"/>
            </c:ext>
          </c:extLst>
        </c:ser>
        <c:ser>
          <c:idx val="4"/>
          <c:order val="4"/>
          <c:tx>
            <c:v>+/- RD Curve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'Float sink'!$AJ$59:$AJ$72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sink'!$AV$59:$AV$72</c:f>
              <c:numCache>
                <c:formatCode>General</c:formatCode>
                <c:ptCount val="14"/>
                <c:pt idx="2" formatCode="0.00">
                  <c:v>30.802484520789715</c:v>
                </c:pt>
                <c:pt idx="3" formatCode="0.00">
                  <c:v>24.593612978336509</c:v>
                </c:pt>
                <c:pt idx="4" formatCode="0.00">
                  <c:v>21.303178697916604</c:v>
                </c:pt>
                <c:pt idx="5" formatCode="0.00">
                  <c:v>23.682284227625111</c:v>
                </c:pt>
                <c:pt idx="6" formatCode="0.00">
                  <c:v>27.329139041763508</c:v>
                </c:pt>
                <c:pt idx="8" formatCode="0.00">
                  <c:v>20.294991331694398</c:v>
                </c:pt>
                <c:pt idx="9" formatCode="0.00">
                  <c:v>5.2251397845176797</c:v>
                </c:pt>
                <c:pt idx="10" formatCode="0.00">
                  <c:v>5.2434936907760088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AB2-4BAB-9842-2B3CFB6AB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928024"/>
        <c:axId val="551255416"/>
      </c:scatterChart>
      <c:scatterChart>
        <c:scatterStyle val="lineMarker"/>
        <c:varyColors val="0"/>
        <c:ser>
          <c:idx val="1"/>
          <c:order val="1"/>
          <c:tx>
            <c:v>Cum Sinks, %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'Float sink'!$AT$59:$AT$72</c:f>
              <c:numCache>
                <c:formatCode>0.00</c:formatCode>
                <c:ptCount val="14"/>
                <c:pt idx="0">
                  <c:v>23.565762591044553</c:v>
                </c:pt>
                <c:pt idx="1">
                  <c:v>28.467849069644071</c:v>
                </c:pt>
                <c:pt idx="2">
                  <c:v>32.392913130916639</c:v>
                </c:pt>
                <c:pt idx="3">
                  <c:v>35.510628736468988</c:v>
                </c:pt>
                <c:pt idx="4">
                  <c:v>38.035126440025415</c:v>
                </c:pt>
                <c:pt idx="5">
                  <c:v>40.062672879257981</c:v>
                </c:pt>
                <c:pt idx="6">
                  <c:v>42.928788324707213</c:v>
                </c:pt>
                <c:pt idx="7">
                  <c:v>45.945081092518357</c:v>
                </c:pt>
                <c:pt idx="8">
                  <c:v>51.898685543597921</c:v>
                </c:pt>
                <c:pt idx="9">
                  <c:v>59.545745344926615</c:v>
                </c:pt>
                <c:pt idx="10">
                  <c:v>63.987678215139859</c:v>
                </c:pt>
                <c:pt idx="11">
                  <c:v>65.880228652126149</c:v>
                </c:pt>
                <c:pt idx="12">
                  <c:v>70.797514433241744</c:v>
                </c:pt>
                <c:pt idx="13">
                  <c:v>76.381437327453824</c:v>
                </c:pt>
              </c:numCache>
            </c:numRef>
          </c:xVal>
          <c:yVal>
            <c:numRef>
              <c:f>'Float sink'!$AR$59:$AR$72</c:f>
              <c:numCache>
                <c:formatCode>_(* #,##0.00_);_(* \(#,##0.00\);_(* "-"??_);_(@_)</c:formatCode>
                <c:ptCount val="14"/>
                <c:pt idx="0">
                  <c:v>100</c:v>
                </c:pt>
                <c:pt idx="1">
                  <c:v>81.020346662502874</c:v>
                </c:pt>
                <c:pt idx="2">
                  <c:v>69.122263021971918</c:v>
                </c:pt>
                <c:pt idx="3">
                  <c:v>60.70690009707063</c:v>
                </c:pt>
                <c:pt idx="4">
                  <c:v>54.694155048614547</c:v>
                </c:pt>
                <c:pt idx="5">
                  <c:v>50.217862141713169</c:v>
                </c:pt>
                <c:pt idx="6">
                  <c:v>44.528650043635409</c:v>
                </c:pt>
                <c:pt idx="7">
                  <c:v>39.403721399154016</c:v>
                </c:pt>
                <c:pt idx="8">
                  <c:v>31.011870820989429</c:v>
                </c:pt>
                <c:pt idx="9">
                  <c:v>22.888723099949658</c:v>
                </c:pt>
                <c:pt idx="10">
                  <c:v>19.108730067459625</c:v>
                </c:pt>
                <c:pt idx="11">
                  <c:v>17.663583315431978</c:v>
                </c:pt>
                <c:pt idx="12">
                  <c:v>13.865236376683614</c:v>
                </c:pt>
                <c:pt idx="13">
                  <c:v>9.7782662363686352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BAB2-4BAB-9842-2B3CFB6AB0EB}"/>
            </c:ext>
          </c:extLst>
        </c:ser>
        <c:ser>
          <c:idx val="2"/>
          <c:order val="2"/>
          <c:tx>
            <c:v>Relative Density 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'Float sink'!$AJ$59:$AJ$72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sink'!$AO$59:$AO$72</c:f>
              <c:numCache>
                <c:formatCode>_(* #,##0.00_);_(* \(#,##0.00\);_(* "-"??_);_(@_)</c:formatCode>
                <c:ptCount val="14"/>
                <c:pt idx="0">
                  <c:v>18.97965333749713</c:v>
                </c:pt>
                <c:pt idx="1">
                  <c:v>30.877736978028089</c:v>
                </c:pt>
                <c:pt idx="2">
                  <c:v>39.293099902929384</c:v>
                </c:pt>
                <c:pt idx="3">
                  <c:v>45.305844951385467</c:v>
                </c:pt>
                <c:pt idx="4">
                  <c:v>49.782137858286838</c:v>
                </c:pt>
                <c:pt idx="5">
                  <c:v>55.471349956364591</c:v>
                </c:pt>
                <c:pt idx="6">
                  <c:v>60.596278600845977</c:v>
                </c:pt>
                <c:pt idx="7">
                  <c:v>68.988129179010571</c:v>
                </c:pt>
                <c:pt idx="8">
                  <c:v>77.111276900050342</c:v>
                </c:pt>
                <c:pt idx="9">
                  <c:v>80.891269932540382</c:v>
                </c:pt>
                <c:pt idx="10">
                  <c:v>82.336416684568022</c:v>
                </c:pt>
                <c:pt idx="11">
                  <c:v>86.134763623316388</c:v>
                </c:pt>
                <c:pt idx="12">
                  <c:v>90.221733763631363</c:v>
                </c:pt>
                <c:pt idx="13">
                  <c:v>100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AB2-4BAB-9842-2B3CFB6AB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28392"/>
        <c:axId val="414662104"/>
      </c:scatterChart>
      <c:valAx>
        <c:axId val="425928024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1255416"/>
        <c:crosses val="autoZero"/>
        <c:crossBetween val="midCat"/>
        <c:majorUnit val="5"/>
        <c:minorUnit val="1"/>
      </c:valAx>
      <c:valAx>
        <c:axId val="551255416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rgbClr val="99CC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Cum Float,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5928024"/>
        <c:crosses val="autoZero"/>
        <c:crossBetween val="midCat"/>
        <c:minorUnit val="5"/>
      </c:valAx>
      <c:valAx>
        <c:axId val="41466210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Cum Sink,</a:t>
                </a:r>
                <a:r>
                  <a:rPr lang="en-US" sz="1200" b="1" baseline="0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%</a:t>
                </a:r>
                <a:endParaRPr lang="en-US" sz="1200" b="1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4945934010540578"/>
              <c:y val="0.3884546470526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128392"/>
        <c:crosses val="max"/>
        <c:crossBetween val="midCat"/>
        <c:minorUnit val="5"/>
      </c:valAx>
      <c:valAx>
        <c:axId val="36612839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Ash, dry %</a:t>
                </a:r>
              </a:p>
            </c:rich>
          </c:tx>
          <c:layout>
            <c:manualLayout>
              <c:xMode val="edge"/>
              <c:yMode val="edge"/>
              <c:x val="0.44825768594212345"/>
              <c:y val="0.23224918782005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" sourceLinked="0"/>
        <c:majorTickMark val="in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62104"/>
        <c:crosses val="max"/>
        <c:crossBetween val="midCat"/>
        <c:majorUnit val="7"/>
        <c:minorUnit val="1"/>
      </c:valAx>
      <c:spPr>
        <a:solidFill>
          <a:schemeClr val="accent2">
            <a:lumMod val="20000"/>
            <a:lumOff val="80000"/>
          </a:schemeClr>
        </a:solidFill>
        <a:ln w="28575">
          <a:solidFill>
            <a:srgbClr val="002060"/>
          </a:solidFill>
        </a:ln>
        <a:effectLst/>
      </c:spPr>
    </c:plotArea>
    <c:legend>
      <c:legendPos val="r"/>
      <c:layout>
        <c:manualLayout>
          <c:xMode val="edge"/>
          <c:yMode val="edge"/>
          <c:x val="0.67436040031995836"/>
          <c:y val="0.49965264050731523"/>
          <c:w val="0.16271753849240184"/>
          <c:h val="0.2340687462144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-8mm+2.0mm Composite</a:t>
            </a:r>
          </a:p>
        </c:rich>
      </c:tx>
      <c:layout>
        <c:manualLayout>
          <c:xMode val="edge"/>
          <c:yMode val="edge"/>
          <c:x val="0.41129053783531305"/>
          <c:y val="0.9422158994831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54438411523273E-2"/>
          <c:y val="0.20743323605528333"/>
          <c:w val="0.83507506227326678"/>
          <c:h val="0.7118835691867188"/>
        </c:manualLayout>
      </c:layout>
      <c:scatterChart>
        <c:scatterStyle val="lineMarker"/>
        <c:varyColors val="0"/>
        <c:ser>
          <c:idx val="0"/>
          <c:order val="0"/>
          <c:tx>
            <c:v>Cum Floats, %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'Float sink'!$AQ$43:$AQ$56</c:f>
              <c:numCache>
                <c:formatCode>_(* #,##0.00_);_(* \(#,##0.00\);_(* "-"??_);_(@_)</c:formatCode>
                <c:ptCount val="14"/>
                <c:pt idx="0">
                  <c:v>5.3443581728345269</c:v>
                </c:pt>
                <c:pt idx="1">
                  <c:v>6.6748448641253733</c:v>
                </c:pt>
                <c:pt idx="2">
                  <c:v>8.5228994624075121</c:v>
                </c:pt>
                <c:pt idx="3">
                  <c:v>10.224925763876943</c:v>
                </c:pt>
                <c:pt idx="4">
                  <c:v>11.744306108369825</c:v>
                </c:pt>
                <c:pt idx="5">
                  <c:v>13.226273949165455</c:v>
                </c:pt>
                <c:pt idx="6">
                  <c:v>14.731298959136035</c:v>
                </c:pt>
                <c:pt idx="7">
                  <c:v>17.035237803067581</c:v>
                </c:pt>
                <c:pt idx="8">
                  <c:v>19.23631798872298</c:v>
                </c:pt>
                <c:pt idx="9">
                  <c:v>20.611804949071452</c:v>
                </c:pt>
                <c:pt idx="10">
                  <c:v>21.025278587565289</c:v>
                </c:pt>
                <c:pt idx="11">
                  <c:v>21.555289493803187</c:v>
                </c:pt>
                <c:pt idx="12">
                  <c:v>22.165970887330179</c:v>
                </c:pt>
                <c:pt idx="13">
                  <c:v>25.391274760915294</c:v>
                </c:pt>
              </c:numCache>
            </c:numRef>
          </c:xVal>
          <c:yVal>
            <c:numRef>
              <c:f>'Float sink'!$AO$43:$AO$56</c:f>
              <c:numCache>
                <c:formatCode>_(* #,##0.00_);_(* \(#,##0.00\);_(* "-"??_);_(@_)</c:formatCode>
                <c:ptCount val="14"/>
                <c:pt idx="0">
                  <c:v>6.6472439890161397</c:v>
                </c:pt>
                <c:pt idx="1">
                  <c:v>10.9135355970799</c:v>
                </c:pt>
                <c:pt idx="2">
                  <c:v>17.778447525282967</c:v>
                </c:pt>
                <c:pt idx="3">
                  <c:v>26.388051704507397</c:v>
                </c:pt>
                <c:pt idx="4">
                  <c:v>35.195231397763038</c:v>
                </c:pt>
                <c:pt idx="5">
                  <c:v>45.412229589444777</c:v>
                </c:pt>
                <c:pt idx="6">
                  <c:v>55.816757082579862</c:v>
                </c:pt>
                <c:pt idx="7">
                  <c:v>71.02337418793114</c:v>
                </c:pt>
                <c:pt idx="8">
                  <c:v>83.517513897260727</c:v>
                </c:pt>
                <c:pt idx="9">
                  <c:v>89.783001808318261</c:v>
                </c:pt>
                <c:pt idx="10">
                  <c:v>91.310026120152699</c:v>
                </c:pt>
                <c:pt idx="11">
                  <c:v>92.860491594668801</c:v>
                </c:pt>
                <c:pt idx="12">
                  <c:v>94.310494943406326</c:v>
                </c:pt>
                <c:pt idx="13">
                  <c:v>99.999999999999986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0FC-4076-BFBD-C94E25085A53}"/>
            </c:ext>
          </c:extLst>
        </c:ser>
        <c:ser>
          <c:idx val="3"/>
          <c:order val="3"/>
          <c:tx>
            <c:v>Ash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'Float sink'!$AM$43:$AM$56</c:f>
              <c:numCache>
                <c:formatCode>0.00</c:formatCode>
                <c:ptCount val="14"/>
                <c:pt idx="0">
                  <c:v>5.3443581728345269</c:v>
                </c:pt>
                <c:pt idx="1">
                  <c:v>8.7478559176672377</c:v>
                </c:pt>
                <c:pt idx="2">
                  <c:v>11.460855528652138</c:v>
                </c:pt>
                <c:pt idx="3">
                  <c:v>13.739533945324322</c:v>
                </c:pt>
                <c:pt idx="4">
                  <c:v>16.296670030272452</c:v>
                </c:pt>
                <c:pt idx="5">
                  <c:v>18.331315577078289</c:v>
                </c:pt>
                <c:pt idx="6">
                  <c:v>21.300222087623663</c:v>
                </c:pt>
                <c:pt idx="7">
                  <c:v>25.491976990614592</c:v>
                </c:pt>
                <c:pt idx="8">
                  <c:v>31.748435291742378</c:v>
                </c:pt>
                <c:pt idx="9">
                  <c:v>38.946730011118973</c:v>
                </c:pt>
                <c:pt idx="10">
                  <c:v>45.33589639821934</c:v>
                </c:pt>
                <c:pt idx="11">
                  <c:v>52.768696362893344</c:v>
                </c:pt>
                <c:pt idx="12">
                  <c:v>61.274966366552832</c:v>
                </c:pt>
                <c:pt idx="13">
                  <c:v>78.854625550660799</c:v>
                </c:pt>
              </c:numCache>
            </c:numRef>
          </c:xVal>
          <c:yVal>
            <c:numRef>
              <c:f>'Float sink'!$AU$43:$AU$56</c:f>
              <c:numCache>
                <c:formatCode>0.00</c:formatCode>
                <c:ptCount val="14"/>
                <c:pt idx="0" formatCode="_(* #,##0.00_);_(* \(#,##0.00\);_(* &quot;-&quot;??_);_(@_)">
                  <c:v>3.3236219945080698</c:v>
                </c:pt>
                <c:pt idx="1">
                  <c:v>8.7803897930480197</c:v>
                </c:pt>
                <c:pt idx="2">
                  <c:v>14.345991561181433</c:v>
                </c:pt>
                <c:pt idx="3">
                  <c:v>22.08324961489518</c:v>
                </c:pt>
                <c:pt idx="4">
                  <c:v>30.791641551135218</c:v>
                </c:pt>
                <c:pt idx="5">
                  <c:v>40.303730493603908</c:v>
                </c:pt>
                <c:pt idx="6">
                  <c:v>50.614493336012316</c:v>
                </c:pt>
                <c:pt idx="7">
                  <c:v>63.420065635255497</c:v>
                </c:pt>
                <c:pt idx="8">
                  <c:v>77.27044404259594</c:v>
                </c:pt>
                <c:pt idx="9">
                  <c:v>86.650257852789494</c:v>
                </c:pt>
                <c:pt idx="10">
                  <c:v>90.546513964235473</c:v>
                </c:pt>
                <c:pt idx="11">
                  <c:v>92.08525885741075</c:v>
                </c:pt>
                <c:pt idx="12">
                  <c:v>93.585493269037556</c:v>
                </c:pt>
                <c:pt idx="13">
                  <c:v>97.155247471703149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0FC-4076-BFBD-C94E25085A53}"/>
            </c:ext>
          </c:extLst>
        </c:ser>
        <c:ser>
          <c:idx val="4"/>
          <c:order val="4"/>
          <c:tx>
            <c:v>+/- 0.1 RD Curve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'Float sink'!$AJ$43:$AJ$56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sink'!$AV$43:$AV$56</c:f>
              <c:numCache>
                <c:formatCode>General</c:formatCode>
                <c:ptCount val="14"/>
                <c:pt idx="2" formatCode="0.00">
                  <c:v>28.547987408746899</c:v>
                </c:pt>
                <c:pt idx="3" formatCode="0.00">
                  <c:v>34.498693992364878</c:v>
                </c:pt>
                <c:pt idx="4" formatCode="0.00">
                  <c:v>38.038309557296898</c:v>
                </c:pt>
                <c:pt idx="5" formatCode="0.00">
                  <c:v>44.635322483423749</c:v>
                </c:pt>
                <c:pt idx="6" formatCode="0.00">
                  <c:v>48.322282499497689</c:v>
                </c:pt>
                <c:pt idx="8" formatCode="0.00">
                  <c:v>33.966244725738399</c:v>
                </c:pt>
                <c:pt idx="9" formatCode="0.00">
                  <c:v>7.7925122228919692</c:v>
                </c:pt>
                <c:pt idx="10" formatCode="0.00">
                  <c:v>3.0774897863505455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0FC-4076-BFBD-C94E25085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29176"/>
        <c:axId val="366129568"/>
      </c:scatterChart>
      <c:scatterChart>
        <c:scatterStyle val="lineMarker"/>
        <c:varyColors val="0"/>
        <c:ser>
          <c:idx val="1"/>
          <c:order val="1"/>
          <c:tx>
            <c:v>Cum Sinks, %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'Float sink'!$AT$43:$AT$56</c:f>
              <c:numCache>
                <c:formatCode>0.00</c:formatCode>
                <c:ptCount val="14"/>
                <c:pt idx="0">
                  <c:v>25.391274760915294</c:v>
                </c:pt>
                <c:pt idx="1">
                  <c:v>26.818728555345839</c:v>
                </c:pt>
                <c:pt idx="2">
                  <c:v>27.684130643095433</c:v>
                </c:pt>
                <c:pt idx="3">
                  <c:v>29.038658154381576</c:v>
                </c:pt>
                <c:pt idx="4">
                  <c:v>30.828033476985812</c:v>
                </c:pt>
                <c:pt idx="5">
                  <c:v>32.802893226099904</c:v>
                </c:pt>
                <c:pt idx="6">
                  <c:v>35.511486772947649</c:v>
                </c:pt>
                <c:pt idx="7">
                  <c:v>38.858038188538195</c:v>
                </c:pt>
                <c:pt idx="8">
                  <c:v>45.872401288014814</c:v>
                </c:pt>
                <c:pt idx="9">
                  <c:v>56.578723338419614</c:v>
                </c:pt>
                <c:pt idx="10">
                  <c:v>67.391394434905834</c:v>
                </c:pt>
                <c:pt idx="11">
                  <c:v>71.267042644820691</c:v>
                </c:pt>
                <c:pt idx="12">
                  <c:v>75.284272630061011</c:v>
                </c:pt>
                <c:pt idx="13">
                  <c:v>78.854625550660799</c:v>
                </c:pt>
              </c:numCache>
            </c:numRef>
          </c:xVal>
          <c:yVal>
            <c:numRef>
              <c:f>'Float sink'!$AR$43:$AR$56</c:f>
              <c:numCache>
                <c:formatCode>_(* #,##0.00_);_(* \(#,##0.00\);_(* "-"??_);_(@_)</c:formatCode>
                <c:ptCount val="14"/>
                <c:pt idx="0">
                  <c:v>99.999999999999986</c:v>
                </c:pt>
                <c:pt idx="1">
                  <c:v>93.352756010983839</c:v>
                </c:pt>
                <c:pt idx="2">
                  <c:v>89.086464402920086</c:v>
                </c:pt>
                <c:pt idx="3">
                  <c:v>82.221552474717029</c:v>
                </c:pt>
                <c:pt idx="4">
                  <c:v>73.611948295492596</c:v>
                </c:pt>
                <c:pt idx="5">
                  <c:v>64.804768602236962</c:v>
                </c:pt>
                <c:pt idx="6">
                  <c:v>54.587770410555223</c:v>
                </c:pt>
                <c:pt idx="7">
                  <c:v>44.183242917420138</c:v>
                </c:pt>
                <c:pt idx="8">
                  <c:v>28.976625812068846</c:v>
                </c:pt>
                <c:pt idx="9">
                  <c:v>16.482486102739266</c:v>
                </c:pt>
                <c:pt idx="10">
                  <c:v>10.216998191681736</c:v>
                </c:pt>
                <c:pt idx="11">
                  <c:v>8.6899738798472974</c:v>
                </c:pt>
                <c:pt idx="12">
                  <c:v>7.1395084053311901</c:v>
                </c:pt>
                <c:pt idx="13">
                  <c:v>5.6895050565936645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E0FC-4076-BFBD-C94E25085A53}"/>
            </c:ext>
          </c:extLst>
        </c:ser>
        <c:ser>
          <c:idx val="2"/>
          <c:order val="2"/>
          <c:tx>
            <c:v>Relative density 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'Float sink'!$AJ$43:$AJ$56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sink'!$AO$43:$AO$56</c:f>
              <c:numCache>
                <c:formatCode>_(* #,##0.00_);_(* \(#,##0.00\);_(* "-"??_);_(@_)</c:formatCode>
                <c:ptCount val="14"/>
                <c:pt idx="0">
                  <c:v>6.6472439890161397</c:v>
                </c:pt>
                <c:pt idx="1">
                  <c:v>10.9135355970799</c:v>
                </c:pt>
                <c:pt idx="2">
                  <c:v>17.778447525282967</c:v>
                </c:pt>
                <c:pt idx="3">
                  <c:v>26.388051704507397</c:v>
                </c:pt>
                <c:pt idx="4">
                  <c:v>35.195231397763038</c:v>
                </c:pt>
                <c:pt idx="5">
                  <c:v>45.412229589444777</c:v>
                </c:pt>
                <c:pt idx="6">
                  <c:v>55.816757082579862</c:v>
                </c:pt>
                <c:pt idx="7">
                  <c:v>71.02337418793114</c:v>
                </c:pt>
                <c:pt idx="8">
                  <c:v>83.517513897260727</c:v>
                </c:pt>
                <c:pt idx="9">
                  <c:v>89.783001808318261</c:v>
                </c:pt>
                <c:pt idx="10">
                  <c:v>91.310026120152699</c:v>
                </c:pt>
                <c:pt idx="11">
                  <c:v>92.860491594668801</c:v>
                </c:pt>
                <c:pt idx="12">
                  <c:v>94.310494943406326</c:v>
                </c:pt>
                <c:pt idx="13">
                  <c:v>99.999999999999986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E0FC-4076-BFBD-C94E25085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30352"/>
        <c:axId val="366129960"/>
      </c:scatterChart>
      <c:valAx>
        <c:axId val="36612917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129568"/>
        <c:crosses val="autoZero"/>
        <c:crossBetween val="midCat"/>
        <c:majorUnit val="5"/>
        <c:minorUnit val="1"/>
      </c:valAx>
      <c:valAx>
        <c:axId val="366129568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rgbClr val="99CC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Cum Float,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129176"/>
        <c:crosses val="autoZero"/>
        <c:crossBetween val="midCat"/>
        <c:minorUnit val="5"/>
      </c:valAx>
      <c:valAx>
        <c:axId val="366129960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Cum Sink,</a:t>
                </a:r>
                <a:r>
                  <a:rPr lang="en-US" sz="1200" b="1" baseline="0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%</a:t>
                </a:r>
                <a:endParaRPr lang="en-US" sz="1200" b="1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4945934010540578"/>
              <c:y val="0.3884546470526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130352"/>
        <c:crosses val="max"/>
        <c:crossBetween val="midCat"/>
        <c:minorUnit val="5"/>
      </c:valAx>
      <c:valAx>
        <c:axId val="36613035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Ash, dry %</a:t>
                </a:r>
              </a:p>
            </c:rich>
          </c:tx>
          <c:layout>
            <c:manualLayout>
              <c:xMode val="edge"/>
              <c:yMode val="edge"/>
              <c:x val="0.44825768594212345"/>
              <c:y val="0.23224918782005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" sourceLinked="0"/>
        <c:majorTickMark val="in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29960"/>
        <c:crosses val="max"/>
        <c:crossBetween val="midCat"/>
        <c:majorUnit val="7"/>
        <c:minorUnit val="1"/>
      </c:valAx>
      <c:spPr>
        <a:solidFill>
          <a:schemeClr val="accent3">
            <a:lumMod val="20000"/>
            <a:lumOff val="80000"/>
          </a:schemeClr>
        </a:solidFill>
        <a:ln w="28575">
          <a:solidFill>
            <a:srgbClr val="002060"/>
          </a:solidFill>
        </a:ln>
        <a:effectLst/>
      </c:spPr>
    </c:plotArea>
    <c:legend>
      <c:legendPos val="r"/>
      <c:layout>
        <c:manualLayout>
          <c:xMode val="edge"/>
          <c:yMode val="edge"/>
          <c:x val="0.67436040031995836"/>
          <c:y val="0.49965264050731523"/>
          <c:w val="0.16271753849240184"/>
          <c:h val="0.2340687462144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Tree Flotation</a:t>
            </a:r>
          </a:p>
        </c:rich>
      </c:tx>
      <c:layout>
        <c:manualLayout>
          <c:xMode val="edge"/>
          <c:yMode val="edge"/>
          <c:x val="0.4372707786526684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56496062992127"/>
          <c:y val="0.13618073782443862"/>
          <c:w val="0.8149905949256343"/>
          <c:h val="0.690593467483231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'Froth Flotation'!$N$11:$N$16</c:f>
              <c:numCache>
                <c:formatCode>0.00</c:formatCode>
                <c:ptCount val="6"/>
                <c:pt idx="0">
                  <c:v>11.8</c:v>
                </c:pt>
                <c:pt idx="1">
                  <c:v>12.341573604060915</c:v>
                </c:pt>
                <c:pt idx="2">
                  <c:v>12.896816976127322</c:v>
                </c:pt>
                <c:pt idx="3">
                  <c:v>13.114898360655742</c:v>
                </c:pt>
                <c:pt idx="4">
                  <c:v>18.890562318840583</c:v>
                </c:pt>
                <c:pt idx="5">
                  <c:v>19.576979673632984</c:v>
                </c:pt>
              </c:numCache>
            </c:numRef>
          </c:xVal>
          <c:yVal>
            <c:numRef>
              <c:f>'Froth Flotation'!$L$11:$L$16</c:f>
              <c:numCache>
                <c:formatCode>0.00</c:formatCode>
                <c:ptCount val="6"/>
                <c:pt idx="0">
                  <c:v>41.68336673346694</c:v>
                </c:pt>
                <c:pt idx="1">
                  <c:v>67.678213569997141</c:v>
                </c:pt>
                <c:pt idx="2">
                  <c:v>86.344116805038652</c:v>
                </c:pt>
                <c:pt idx="3">
                  <c:v>87.317492127111365</c:v>
                </c:pt>
                <c:pt idx="4">
                  <c:v>98.768966504437444</c:v>
                </c:pt>
                <c:pt idx="5">
                  <c:v>100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7A8-4C09-B3F6-004606108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31136"/>
        <c:axId val="366131528"/>
      </c:scatterChart>
      <c:valAx>
        <c:axId val="36613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</a:rPr>
                  <a:t>Cum Ash, dry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1528"/>
        <c:crosses val="autoZero"/>
        <c:crossBetween val="midCat"/>
      </c:valAx>
      <c:valAx>
        <c:axId val="3661315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</a:rPr>
                  <a:t>Cum Yield,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1136"/>
        <c:crosses val="autoZero"/>
        <c:crossBetween val="midCat"/>
        <c:minorUnit val="5"/>
      </c:valAx>
      <c:spPr>
        <a:noFill/>
        <a:ln>
          <a:solidFill>
            <a:srgbClr val="002060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rgbClr val="002060"/>
                </a:solidFill>
              </a:rPr>
              <a:t>ROM ash-Yield</a:t>
            </a:r>
            <a:r>
              <a:rPr lang="en-US" b="0" baseline="0">
                <a:solidFill>
                  <a:srgbClr val="002060"/>
                </a:solidFill>
              </a:rPr>
              <a:t> </a:t>
            </a:r>
            <a:endParaRPr lang="en-US" b="0">
              <a:solidFill>
                <a:srgbClr val="00206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24781277340333"/>
          <c:y val="0.13262511803588292"/>
          <c:w val="0.82730774278215236"/>
          <c:h val="0.6907775869376101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709601924759406"/>
                  <c:y val="3.1721353527692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rgbClr val="002060"/>
                        </a:solidFill>
                      </a:rPr>
                      <a:t>y = -0.0175x + 1.101</a:t>
                    </a:r>
                    <a:endParaRPr lang="en-US" sz="1200" b="1">
                      <a:solidFill>
                        <a:srgbClr val="00206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'Summary '!$B$33:$B$38</c:f>
              <c:numCache>
                <c:formatCode>0.00</c:formatCode>
                <c:ptCount val="6"/>
                <c:pt idx="0">
                  <c:v>26.22</c:v>
                </c:pt>
                <c:pt idx="1">
                  <c:v>17.764287124396422</c:v>
                </c:pt>
                <c:pt idx="2">
                  <c:v>20.18804850902977</c:v>
                </c:pt>
                <c:pt idx="3">
                  <c:v>22.283152542509743</c:v>
                </c:pt>
                <c:pt idx="4">
                  <c:v>24.126709308785525</c:v>
                </c:pt>
                <c:pt idx="5">
                  <c:v>25.77140416289981</c:v>
                </c:pt>
              </c:numCache>
            </c:numRef>
          </c:xVal>
          <c:yVal>
            <c:numRef>
              <c:f>'Summary '!$C$33:$C$38</c:f>
              <c:numCache>
                <c:formatCode>0.00%</c:formatCode>
                <c:ptCount val="6"/>
                <c:pt idx="0">
                  <c:v>0.20599999999999999</c:v>
                </c:pt>
                <c:pt idx="1">
                  <c:v>0.79049598453723624</c:v>
                </c:pt>
                <c:pt idx="2">
                  <c:v>0.7483332870960322</c:v>
                </c:pt>
                <c:pt idx="3">
                  <c:v>0.71150719494994807</c:v>
                </c:pt>
                <c:pt idx="4">
                  <c:v>0.67883532870112628</c:v>
                </c:pt>
                <c:pt idx="5">
                  <c:v>0.64949002073576223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753-4AB3-82C4-03309CCFC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32312"/>
        <c:axId val="366132704"/>
      </c:scatterChart>
      <c:valAx>
        <c:axId val="36613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002060"/>
                    </a:solidFill>
                  </a:rPr>
                  <a:t>ROM ash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2704"/>
        <c:crosses val="autoZero"/>
        <c:crossBetween val="midCat"/>
      </c:valAx>
      <c:valAx>
        <c:axId val="3661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002060"/>
                    </a:solidFill>
                  </a:rPr>
                  <a:t>Yield, %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2312"/>
        <c:crosses val="autoZero"/>
        <c:crossBetween val="midCat"/>
        <c:minorUnit val="5.000000000000001E-2"/>
      </c:valAx>
      <c:spPr>
        <a:noFill/>
        <a:ln>
          <a:solidFill>
            <a:srgbClr val="00206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0</xdr:row>
      <xdr:rowOff>285750</xdr:rowOff>
    </xdr:from>
    <xdr:to>
      <xdr:col>14</xdr:col>
      <xdr:colOff>565150</xdr:colOff>
      <xdr:row>3</xdr:row>
      <xdr:rowOff>38100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7543800" y="285750"/>
          <a:ext cx="2222500" cy="590550"/>
        </a:xfrm>
        <a:prstGeom prst="ellipse">
          <a:avLst/>
        </a:prstGeom>
        <a:solidFill>
          <a:srgbClr val="ACB9CA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Дээж цуглуулах 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(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250-300 кг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)</a:t>
          </a:r>
        </a:p>
      </xdr:txBody>
    </xdr:sp>
    <xdr:clientData/>
  </xdr:twoCellAnchor>
  <xdr:twoCellAnchor>
    <xdr:from>
      <xdr:col>10</xdr:col>
      <xdr:colOff>347980</xdr:colOff>
      <xdr:row>4</xdr:row>
      <xdr:rowOff>19050</xdr:rowOff>
    </xdr:from>
    <xdr:to>
      <xdr:col>15</xdr:col>
      <xdr:colOff>387350</xdr:colOff>
      <xdr:row>7</xdr:row>
      <xdr:rowOff>52070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7110730" y="1809750"/>
          <a:ext cx="3087370" cy="60452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Дээжний дугаарлалт, уутны тоог дээж хүлээлгэх өгөх хуудастай тулгах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10</xdr:col>
      <xdr:colOff>341630</xdr:colOff>
      <xdr:row>8</xdr:row>
      <xdr:rowOff>95250</xdr:rowOff>
    </xdr:from>
    <xdr:to>
      <xdr:col>15</xdr:col>
      <xdr:colOff>355600</xdr:colOff>
      <xdr:row>12</xdr:row>
      <xdr:rowOff>120650</xdr:rowOff>
    </xdr:to>
    <xdr:sp macro="" textlink="">
      <xdr:nvSpPr>
        <xdr:cNvPr id="4" name="Rectangle 16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7104380" y="2647950"/>
          <a:ext cx="3061970" cy="78740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Дээжний жинг тодорхойлох,</a:t>
          </a:r>
        </a:p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агаарын хуурай нөхцөлд хатаагаад дахин жинг тодорхойлох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10</xdr:col>
      <xdr:colOff>373380</xdr:colOff>
      <xdr:row>14</xdr:row>
      <xdr:rowOff>44450</xdr:rowOff>
    </xdr:from>
    <xdr:to>
      <xdr:col>15</xdr:col>
      <xdr:colOff>361950</xdr:colOff>
      <xdr:row>17</xdr:row>
      <xdr:rowOff>139700</xdr:rowOff>
    </xdr:to>
    <xdr:sp macro="" textlink="">
      <xdr:nvSpPr>
        <xdr:cNvPr id="5" name="Rectangle 3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7136130" y="3740150"/>
          <a:ext cx="3036570" cy="66675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Жингээр унагах туршилт </a:t>
          </a:r>
          <a:r>
            <a:rPr lang="mn-MN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2 м өндрөөс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15  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удаа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10</xdr:col>
      <xdr:colOff>383540</xdr:colOff>
      <xdr:row>30</xdr:row>
      <xdr:rowOff>19050</xdr:rowOff>
    </xdr:from>
    <xdr:to>
      <xdr:col>15</xdr:col>
      <xdr:colOff>425450</xdr:colOff>
      <xdr:row>32</xdr:row>
      <xdr:rowOff>146050</xdr:rowOff>
    </xdr:to>
    <xdr:sp macro="" textlink="">
      <xdr:nvSpPr>
        <xdr:cNvPr id="6" name="Rectangle 33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7089140" y="7440930"/>
          <a:ext cx="3089910" cy="49276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mn-MN" sz="1200" b="1" i="0" baseline="0">
              <a:effectLst/>
              <a:latin typeface="+mn-lt"/>
              <a:ea typeface="+mn-ea"/>
              <a:cs typeface="+mn-cs"/>
            </a:rPr>
            <a:t>Дээжний массыг </a:t>
          </a:r>
          <a:r>
            <a:rPr lang="en-US" sz="1200" b="1" i="0" baseline="0">
              <a:effectLst/>
              <a:latin typeface="+mn-lt"/>
              <a:ea typeface="+mn-ea"/>
              <a:cs typeface="+mn-cs"/>
            </a:rPr>
            <a:t>~ </a:t>
          </a:r>
          <a:r>
            <a:rPr lang="mn-MN" sz="1200" b="1" i="0" baseline="0">
              <a:effectLst/>
              <a:latin typeface="+mn-lt"/>
              <a:ea typeface="+mn-ea"/>
              <a:cs typeface="+mn-cs"/>
            </a:rPr>
            <a:t>100 кг хүртэл бууруулах </a:t>
          </a:r>
        </a:p>
      </xdr:txBody>
    </xdr:sp>
    <xdr:clientData/>
  </xdr:twoCellAnchor>
  <xdr:twoCellAnchor>
    <xdr:from>
      <xdr:col>10</xdr:col>
      <xdr:colOff>393700</xdr:colOff>
      <xdr:row>34</xdr:row>
      <xdr:rowOff>95250</xdr:rowOff>
    </xdr:from>
    <xdr:to>
      <xdr:col>15</xdr:col>
      <xdr:colOff>425450</xdr:colOff>
      <xdr:row>36</xdr:row>
      <xdr:rowOff>177800</xdr:rowOff>
    </xdr:to>
    <xdr:sp macro="" textlink="">
      <xdr:nvSpPr>
        <xdr:cNvPr id="7" name="Rectangle 34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099300" y="8248650"/>
          <a:ext cx="3079750" cy="44831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Хуурай тамблерт эргүүлэх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-3 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минут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/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ган кубгүйгээр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/</a:t>
          </a:r>
          <a:endParaRPr lang="mn-MN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10</xdr:col>
      <xdr:colOff>425450</xdr:colOff>
      <xdr:row>38</xdr:row>
      <xdr:rowOff>146050</xdr:rowOff>
    </xdr:from>
    <xdr:to>
      <xdr:col>15</xdr:col>
      <xdr:colOff>393700</xdr:colOff>
      <xdr:row>41</xdr:row>
      <xdr:rowOff>88900</xdr:rowOff>
    </xdr:to>
    <xdr:sp macro="" textlink="">
      <xdr:nvSpPr>
        <xdr:cNvPr id="8" name="Rectangle 35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7131050" y="9030970"/>
          <a:ext cx="3016250" cy="49149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Хуурай шигшүүр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(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32мм, 16мм, 8мм, 4.75мм, 2мм, 1мм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)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16</xdr:col>
      <xdr:colOff>558800</xdr:colOff>
      <xdr:row>48</xdr:row>
      <xdr:rowOff>12700</xdr:rowOff>
    </xdr:from>
    <xdr:to>
      <xdr:col>20</xdr:col>
      <xdr:colOff>190500</xdr:colOff>
      <xdr:row>54</xdr:row>
      <xdr:rowOff>101600</xdr:rowOff>
    </xdr:to>
    <xdr:sp macro="" textlink="">
      <xdr:nvSpPr>
        <xdr:cNvPr id="9" name="Rectangle 63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0922000" y="10772140"/>
          <a:ext cx="2070100" cy="118618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Ширхэглэлийн фракц тус бүрийг нэгтгээд нойтон тамблерт эргүүлэх -5 мин /ган кубтай/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8</xdr:col>
      <xdr:colOff>22860</xdr:colOff>
      <xdr:row>66</xdr:row>
      <xdr:rowOff>30480</xdr:rowOff>
    </xdr:from>
    <xdr:to>
      <xdr:col>11</xdr:col>
      <xdr:colOff>292100</xdr:colOff>
      <xdr:row>72</xdr:row>
      <xdr:rowOff>184150</xdr:rowOff>
    </xdr:to>
    <xdr:sp macro="" textlink="">
      <xdr:nvSpPr>
        <xdr:cNvPr id="10" name="Rectangle 66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5566410" y="13022580"/>
          <a:ext cx="2098040" cy="12966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-50 мм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-1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6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11</xdr:col>
      <xdr:colOff>546100</xdr:colOff>
      <xdr:row>54</xdr:row>
      <xdr:rowOff>97790</xdr:rowOff>
    </xdr:from>
    <xdr:to>
      <xdr:col>15</xdr:col>
      <xdr:colOff>393700</xdr:colOff>
      <xdr:row>57</xdr:row>
      <xdr:rowOff>139700</xdr:rowOff>
    </xdr:to>
    <xdr:sp macro="" textlink="">
      <xdr:nvSpPr>
        <xdr:cNvPr id="11" name="Rectangle 31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7861300" y="11954510"/>
          <a:ext cx="2286000" cy="68199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Нойтон шигшүүр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Дээжээ хатаах </a:t>
          </a:r>
        </a:p>
      </xdr:txBody>
    </xdr:sp>
    <xdr:clientData/>
  </xdr:twoCellAnchor>
  <xdr:twoCellAnchor>
    <xdr:from>
      <xdr:col>0</xdr:col>
      <xdr:colOff>190500</xdr:colOff>
      <xdr:row>47</xdr:row>
      <xdr:rowOff>114300</xdr:rowOff>
    </xdr:from>
    <xdr:to>
      <xdr:col>3</xdr:col>
      <xdr:colOff>444500</xdr:colOff>
      <xdr:row>58</xdr:row>
      <xdr:rowOff>12700</xdr:rowOff>
    </xdr:to>
    <xdr:sp macro="" textlink="">
      <xdr:nvSpPr>
        <xdr:cNvPr id="12" name="Rectangle 8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90500" y="10452100"/>
          <a:ext cx="2692400" cy="195580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Анхдагч шинжилгээнд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+32мм, </a:t>
          </a: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-32мм+8мм, </a:t>
          </a: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-8мм+4.75мм</a:t>
          </a: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-4.75мм+2мм</a:t>
          </a: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-2мм+1мм</a:t>
          </a: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-1мм</a:t>
          </a:r>
        </a:p>
        <a:p>
          <a:pPr marL="0" indent="0" algn="l" rtl="0">
            <a:buFont typeface="Arial" panose="020B0604020202020204" pitchFamily="34" charset="0"/>
            <a:buNone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29</xdr:col>
      <xdr:colOff>514350</xdr:colOff>
      <xdr:row>159</xdr:row>
      <xdr:rowOff>133350</xdr:rowOff>
    </xdr:from>
    <xdr:to>
      <xdr:col>29</xdr:col>
      <xdr:colOff>514350</xdr:colOff>
      <xdr:row>160</xdr:row>
      <xdr:rowOff>161193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>
          <a:cxnSpLocks noChangeShapeType="1"/>
        </xdr:cNvCxnSpPr>
      </xdr:nvCxnSpPr>
      <xdr:spPr bwMode="auto">
        <a:xfrm>
          <a:off x="18802350" y="31649670"/>
          <a:ext cx="0" cy="210723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392430</xdr:colOff>
      <xdr:row>25</xdr:row>
      <xdr:rowOff>38100</xdr:rowOff>
    </xdr:from>
    <xdr:to>
      <xdr:col>15</xdr:col>
      <xdr:colOff>381000</xdr:colOff>
      <xdr:row>28</xdr:row>
      <xdr:rowOff>120650</xdr:rowOff>
    </xdr:to>
    <xdr:sp macro="" textlink="">
      <xdr:nvSpPr>
        <xdr:cNvPr id="14" name="Rectangle 32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7155180" y="5829300"/>
          <a:ext cx="3036570" cy="65405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mn-MN" sz="1200" b="1" i="0" baseline="0">
              <a:effectLst/>
              <a:latin typeface="+mn-lt"/>
              <a:ea typeface="+mn-ea"/>
              <a:cs typeface="+mn-cs"/>
            </a:rPr>
            <a:t> +50 мм-ыг алхаар бутлаж үндсэн дээжтэй нэгтгэх </a:t>
          </a:r>
          <a:endParaRPr lang="en-US" sz="1200">
            <a:effectLst/>
          </a:endParaRPr>
        </a:p>
      </xdr:txBody>
    </xdr:sp>
    <xdr:clientData/>
  </xdr:twoCellAnchor>
  <xdr:twoCellAnchor>
    <xdr:from>
      <xdr:col>20</xdr:col>
      <xdr:colOff>562162</xdr:colOff>
      <xdr:row>35</xdr:row>
      <xdr:rowOff>100106</xdr:rowOff>
    </xdr:from>
    <xdr:to>
      <xdr:col>24</xdr:col>
      <xdr:colOff>498662</xdr:colOff>
      <xdr:row>43</xdr:row>
      <xdr:rowOff>12700</xdr:rowOff>
    </xdr:to>
    <xdr:sp macro="" textlink="">
      <xdr:nvSpPr>
        <xdr:cNvPr id="15" name="Rectangle 63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3426515" y="8311777"/>
          <a:ext cx="2374900" cy="1346947"/>
        </a:xfrm>
        <a:prstGeom prst="rect">
          <a:avLst/>
        </a:prstGeom>
        <a:solidFill>
          <a:srgbClr val="FF99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indent="0"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Нойтон тамблер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:</a:t>
          </a:r>
        </a:p>
        <a:p>
          <a:pPr marL="0" indent="0"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Эргэлтийн хурд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- 20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эрг/мин</a:t>
          </a:r>
        </a:p>
        <a:p>
          <a:pPr marL="0" indent="0"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Дээжний масс- 50 кг + 150 литр ус</a:t>
          </a:r>
        </a:p>
        <a:p>
          <a:pPr marL="0" indent="0"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endParaRPr lang="en-US" sz="1200" b="1" i="0" u="sng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Ган кубтай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:</a:t>
          </a:r>
        </a:p>
        <a:p>
          <a:pPr marL="0" indent="0"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Хэмжээ - 50мм </a:t>
          </a:r>
        </a:p>
        <a:p>
          <a:pPr marL="0" indent="0"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Тоо-18 ширхэг </a:t>
          </a:r>
        </a:p>
        <a:p>
          <a:pPr marL="0" indent="0" algn="l" rtl="0">
            <a:defRPr sz="1000"/>
          </a:pPr>
          <a:endParaRPr lang="en-US" sz="1200" b="1" i="0" u="sng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568960</xdr:colOff>
      <xdr:row>62</xdr:row>
      <xdr:rowOff>5080</xdr:rowOff>
    </xdr:from>
    <xdr:to>
      <xdr:col>18</xdr:col>
      <xdr:colOff>254000</xdr:colOff>
      <xdr:row>63</xdr:row>
      <xdr:rowOff>142875</xdr:rowOff>
    </xdr:to>
    <xdr:sp macro="" textlink="">
      <xdr:nvSpPr>
        <xdr:cNvPr id="16" name="Rectangle 66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9712960" y="13416280"/>
          <a:ext cx="2123440" cy="320675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Хөвүүлэн баяжуулалт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26</xdr:col>
      <xdr:colOff>127635</xdr:colOff>
      <xdr:row>53</xdr:row>
      <xdr:rowOff>106680</xdr:rowOff>
    </xdr:from>
    <xdr:to>
      <xdr:col>30</xdr:col>
      <xdr:colOff>79375</xdr:colOff>
      <xdr:row>56</xdr:row>
      <xdr:rowOff>165100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16586835" y="11780520"/>
          <a:ext cx="2390140" cy="69850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Фильтер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&amp; 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хатаах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Нойтон шигшүүр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13</xdr:col>
      <xdr:colOff>62865</xdr:colOff>
      <xdr:row>3</xdr:row>
      <xdr:rowOff>38100</xdr:rowOff>
    </xdr:from>
    <xdr:to>
      <xdr:col>13</xdr:col>
      <xdr:colOff>63500</xdr:colOff>
      <xdr:row>4</xdr:row>
      <xdr:rowOff>19050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>
          <a:stCxn id="2" idx="4"/>
          <a:endCxn id="3" idx="0"/>
        </xdr:cNvCxnSpPr>
      </xdr:nvCxnSpPr>
      <xdr:spPr>
        <a:xfrm flipH="1">
          <a:off x="8654415" y="876300"/>
          <a:ext cx="635" cy="1714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</xdr:colOff>
      <xdr:row>7</xdr:row>
      <xdr:rowOff>52070</xdr:rowOff>
    </xdr:from>
    <xdr:to>
      <xdr:col>13</xdr:col>
      <xdr:colOff>62865</xdr:colOff>
      <xdr:row>8</xdr:row>
      <xdr:rowOff>95250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8635365" y="2414270"/>
          <a:ext cx="19050" cy="2336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</xdr:colOff>
      <xdr:row>12</xdr:row>
      <xdr:rowOff>120650</xdr:rowOff>
    </xdr:from>
    <xdr:to>
      <xdr:col>13</xdr:col>
      <xdr:colOff>62865</xdr:colOff>
      <xdr:row>14</xdr:row>
      <xdr:rowOff>44450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>
          <a:cxnSpLocks/>
          <a:stCxn id="4" idx="2"/>
          <a:endCxn id="5" idx="0"/>
        </xdr:cNvCxnSpPr>
      </xdr:nvCxnSpPr>
      <xdr:spPr>
        <a:xfrm>
          <a:off x="8635365" y="3435350"/>
          <a:ext cx="190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62865</xdr:colOff>
      <xdr:row>17</xdr:row>
      <xdr:rowOff>139700</xdr:rowOff>
    </xdr:from>
    <xdr:to>
      <xdr:col>13</xdr:col>
      <xdr:colOff>83185</xdr:colOff>
      <xdr:row>19</xdr:row>
      <xdr:rowOff>127000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>
          <a:stCxn id="5" idx="2"/>
          <a:endCxn id="60" idx="0"/>
        </xdr:cNvCxnSpPr>
      </xdr:nvCxnSpPr>
      <xdr:spPr>
        <a:xfrm>
          <a:off x="8654415" y="4406900"/>
          <a:ext cx="20320" cy="368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99695</xdr:colOff>
      <xdr:row>32</xdr:row>
      <xdr:rowOff>146050</xdr:rowOff>
    </xdr:from>
    <xdr:to>
      <xdr:col>13</xdr:col>
      <xdr:colOff>104775</xdr:colOff>
      <xdr:row>34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CxnSpPr>
          <a:stCxn id="6" idx="2"/>
          <a:endCxn id="7" idx="0"/>
        </xdr:cNvCxnSpPr>
      </xdr:nvCxnSpPr>
      <xdr:spPr>
        <a:xfrm>
          <a:off x="8634095" y="7933690"/>
          <a:ext cx="5080" cy="314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104775</xdr:colOff>
      <xdr:row>36</xdr:row>
      <xdr:rowOff>177800</xdr:rowOff>
    </xdr:from>
    <xdr:to>
      <xdr:col>13</xdr:col>
      <xdr:colOff>104775</xdr:colOff>
      <xdr:row>38</xdr:row>
      <xdr:rowOff>146050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>
          <a:stCxn id="7" idx="2"/>
          <a:endCxn id="8" idx="0"/>
        </xdr:cNvCxnSpPr>
      </xdr:nvCxnSpPr>
      <xdr:spPr>
        <a:xfrm>
          <a:off x="8639175" y="8696960"/>
          <a:ext cx="0" cy="3340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43</xdr:row>
      <xdr:rowOff>38100</xdr:rowOff>
    </xdr:from>
    <xdr:to>
      <xdr:col>15</xdr:col>
      <xdr:colOff>412750</xdr:colOff>
      <xdr:row>46</xdr:row>
      <xdr:rowOff>19050</xdr:rowOff>
    </xdr:to>
    <xdr:sp macro="" textlink="">
      <xdr:nvSpPr>
        <xdr:cNvPr id="25" name="Rectangle 35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7112000" y="9837420"/>
          <a:ext cx="3054350" cy="57531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/>
          <a:r>
            <a:rPr lang="mn-MN" sz="1100" b="1" i="0" baseline="0">
              <a:effectLst/>
              <a:latin typeface="+mn-lt"/>
              <a:ea typeface="+mn-ea"/>
              <a:cs typeface="+mn-cs"/>
            </a:rPr>
            <a:t>Ширхэглэлийн ангилал тус бүрийг дээж хуваагчаар хуваах 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(RSD) </a:t>
          </a:r>
          <a:endParaRPr lang="en-US" sz="1200">
            <a:effectLst/>
          </a:endParaRPr>
        </a:p>
        <a:p>
          <a:pPr algn="ctr" rtl="0"/>
          <a:r>
            <a:rPr lang="mn-MN" sz="1100" b="1" i="0" baseline="0">
              <a:effectLst/>
              <a:latin typeface="+mn-lt"/>
              <a:ea typeface="+mn-ea"/>
              <a:cs typeface="+mn-cs"/>
            </a:rPr>
            <a:t>1/8 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&amp; 7/8</a:t>
          </a:r>
          <a:endParaRPr lang="en-US" sz="1200">
            <a:effectLst/>
          </a:endParaRPr>
        </a:p>
      </xdr:txBody>
    </xdr:sp>
    <xdr:clientData/>
  </xdr:twoCellAnchor>
  <xdr:twoCellAnchor>
    <xdr:from>
      <xdr:col>13</xdr:col>
      <xdr:colOff>104775</xdr:colOff>
      <xdr:row>41</xdr:row>
      <xdr:rowOff>88900</xdr:rowOff>
    </xdr:from>
    <xdr:to>
      <xdr:col>13</xdr:col>
      <xdr:colOff>104775</xdr:colOff>
      <xdr:row>43</xdr:row>
      <xdr:rowOff>38100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CxnSpPr>
          <a:stCxn id="8" idx="2"/>
          <a:endCxn id="25" idx="0"/>
        </xdr:cNvCxnSpPr>
      </xdr:nvCxnSpPr>
      <xdr:spPr>
        <a:xfrm>
          <a:off x="8639175" y="9522460"/>
          <a:ext cx="0" cy="314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412750</xdr:colOff>
      <xdr:row>44</xdr:row>
      <xdr:rowOff>92075</xdr:rowOff>
    </xdr:from>
    <xdr:to>
      <xdr:col>18</xdr:col>
      <xdr:colOff>374650</xdr:colOff>
      <xdr:row>48</xdr:row>
      <xdr:rowOff>12700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CxnSpPr>
          <a:stCxn id="25" idx="3"/>
          <a:endCxn id="9" idx="0"/>
        </xdr:cNvCxnSpPr>
      </xdr:nvCxnSpPr>
      <xdr:spPr>
        <a:xfrm>
          <a:off x="10166350" y="10119995"/>
          <a:ext cx="1790700" cy="65214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927100</xdr:colOff>
      <xdr:row>44</xdr:row>
      <xdr:rowOff>92074</xdr:rowOff>
    </xdr:from>
    <xdr:to>
      <xdr:col>10</xdr:col>
      <xdr:colOff>406400</xdr:colOff>
      <xdr:row>47</xdr:row>
      <xdr:rowOff>114299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>
          <a:cxnSpLocks/>
          <a:stCxn id="25" idx="1"/>
          <a:endCxn id="12" idx="0"/>
        </xdr:cNvCxnSpPr>
      </xdr:nvCxnSpPr>
      <xdr:spPr>
        <a:xfrm rot="10800000" flipV="1">
          <a:off x="1536700" y="9896474"/>
          <a:ext cx="5575300" cy="5556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125506</xdr:colOff>
      <xdr:row>28</xdr:row>
      <xdr:rowOff>22039</xdr:rowOff>
    </xdr:from>
    <xdr:to>
      <xdr:col>24</xdr:col>
      <xdr:colOff>55656</xdr:colOff>
      <xdr:row>33</xdr:row>
      <xdr:rowOff>118783</xdr:rowOff>
    </xdr:to>
    <xdr:sp macro="" textlink="">
      <xdr:nvSpPr>
        <xdr:cNvPr id="29" name="Rectangle 63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12989859" y="6978651"/>
          <a:ext cx="2368550" cy="993214"/>
        </a:xfrm>
        <a:prstGeom prst="rect">
          <a:avLst/>
        </a:prstGeom>
        <a:solidFill>
          <a:srgbClr val="FF99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Хуурай тамблер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algn="l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Эргэлтийн хурд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- 20 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эрг/мин</a:t>
          </a:r>
        </a:p>
        <a:p>
          <a:pPr algn="l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Дээжний масс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~ 100 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кг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Ган кубтай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algn="l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-Үгүй 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13</xdr:col>
      <xdr:colOff>469900</xdr:colOff>
      <xdr:row>51</xdr:row>
      <xdr:rowOff>57150</xdr:rowOff>
    </xdr:from>
    <xdr:to>
      <xdr:col>16</xdr:col>
      <xdr:colOff>558800</xdr:colOff>
      <xdr:row>54</xdr:row>
      <xdr:rowOff>97790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>
          <a:stCxn id="9" idx="1"/>
          <a:endCxn id="11" idx="0"/>
        </xdr:cNvCxnSpPr>
      </xdr:nvCxnSpPr>
      <xdr:spPr>
        <a:xfrm rot="10800000" flipV="1">
          <a:off x="9004300" y="11365230"/>
          <a:ext cx="1917700" cy="58928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51</xdr:row>
      <xdr:rowOff>57150</xdr:rowOff>
    </xdr:from>
    <xdr:to>
      <xdr:col>28</xdr:col>
      <xdr:colOff>103505</xdr:colOff>
      <xdr:row>53</xdr:row>
      <xdr:rowOff>106680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>
          <a:stCxn id="9" idx="3"/>
          <a:endCxn id="17" idx="0"/>
        </xdr:cNvCxnSpPr>
      </xdr:nvCxnSpPr>
      <xdr:spPr>
        <a:xfrm>
          <a:off x="12992100" y="11365230"/>
          <a:ext cx="4789805" cy="41529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425450</xdr:colOff>
      <xdr:row>30</xdr:row>
      <xdr:rowOff>160058</xdr:rowOff>
    </xdr:from>
    <xdr:to>
      <xdr:col>20</xdr:col>
      <xdr:colOff>125506</xdr:colOff>
      <xdr:row>35</xdr:row>
      <xdr:rowOff>136525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CxnSpPr>
          <a:stCxn id="7" idx="3"/>
          <a:endCxn id="29" idx="1"/>
        </xdr:cNvCxnSpPr>
      </xdr:nvCxnSpPr>
      <xdr:spPr>
        <a:xfrm flipV="1">
          <a:off x="10241803" y="7475258"/>
          <a:ext cx="2748056" cy="872938"/>
        </a:xfrm>
        <a:prstGeom prst="bentConnector3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39</xdr:row>
      <xdr:rowOff>56404</xdr:rowOff>
    </xdr:from>
    <xdr:to>
      <xdr:col>20</xdr:col>
      <xdr:colOff>562162</xdr:colOff>
      <xdr:row>51</xdr:row>
      <xdr:rowOff>30256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CxnSpPr>
          <a:stCxn id="9" idx="3"/>
          <a:endCxn id="15" idx="1"/>
        </xdr:cNvCxnSpPr>
      </xdr:nvCxnSpPr>
      <xdr:spPr>
        <a:xfrm flipV="1">
          <a:off x="13054853" y="8985251"/>
          <a:ext cx="371662" cy="2232958"/>
        </a:xfrm>
        <a:prstGeom prst="bentConnector3">
          <a:avLst>
            <a:gd name="adj1" fmla="val 50000"/>
          </a:avLst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215900</xdr:colOff>
      <xdr:row>55</xdr:row>
      <xdr:rowOff>207644</xdr:rowOff>
    </xdr:from>
    <xdr:to>
      <xdr:col>11</xdr:col>
      <xdr:colOff>546100</xdr:colOff>
      <xdr:row>59</xdr:row>
      <xdr:rowOff>134619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CxnSpPr>
          <a:cxnSpLocks/>
          <a:stCxn id="11" idx="1"/>
          <a:endCxn id="35" idx="0"/>
        </xdr:cNvCxnSpPr>
      </xdr:nvCxnSpPr>
      <xdr:spPr>
        <a:xfrm rot="10800000" flipV="1">
          <a:off x="3873500" y="12018644"/>
          <a:ext cx="3987800" cy="6889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59</xdr:row>
      <xdr:rowOff>134620</xdr:rowOff>
    </xdr:from>
    <xdr:to>
      <xdr:col>7</xdr:col>
      <xdr:colOff>50800</xdr:colOff>
      <xdr:row>76</xdr:row>
      <xdr:rowOff>127000</xdr:rowOff>
    </xdr:to>
    <xdr:sp macro="" textlink="">
      <xdr:nvSpPr>
        <xdr:cNvPr id="35" name="Rectangle 8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2819400" y="12707620"/>
          <a:ext cx="2108200" cy="30149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Ширхэглэлийн фракц тус бүрийг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+31.5мм</a:t>
          </a: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200" b="1" i="0" baseline="0">
              <a:effectLst/>
              <a:latin typeface="+mn-lt"/>
              <a:ea typeface="+mn-ea"/>
              <a:cs typeface="+mn-cs"/>
            </a:rPr>
            <a:t>-31.5мм+16мм, </a:t>
          </a: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200" b="1" i="0" baseline="0">
              <a:effectLst/>
              <a:latin typeface="+mn-lt"/>
              <a:ea typeface="+mn-ea"/>
              <a:cs typeface="+mn-cs"/>
            </a:rPr>
            <a:t>-16мм+8мм</a:t>
          </a:r>
          <a:endParaRPr lang="en-US" sz="12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200" b="1" i="0" baseline="0">
              <a:effectLst/>
              <a:latin typeface="+mn-lt"/>
              <a:ea typeface="+mn-ea"/>
              <a:cs typeface="+mn-cs"/>
            </a:rPr>
            <a:t>-8мм+4.75мм</a:t>
          </a:r>
          <a:endParaRPr lang="en-US" sz="12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200" b="1" i="0" baseline="0">
              <a:effectLst/>
              <a:latin typeface="+mn-lt"/>
              <a:ea typeface="+mn-ea"/>
              <a:cs typeface="+mn-cs"/>
            </a:rPr>
            <a:t>-4.75мм+2мм</a:t>
          </a:r>
          <a:endParaRPr lang="en-US" sz="12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200" b="1" i="0" baseline="0">
              <a:effectLst/>
              <a:latin typeface="+mn-lt"/>
              <a:ea typeface="+mn-ea"/>
              <a:cs typeface="+mn-cs"/>
            </a:rPr>
            <a:t>-2мм+1мм</a:t>
          </a: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200">
              <a:effectLst/>
            </a:rPr>
            <a:t>-</a:t>
          </a:r>
          <a:r>
            <a:rPr lang="mn-MN" sz="1200" b="1" i="0" baseline="0">
              <a:effectLst/>
              <a:latin typeface="+mn-lt"/>
              <a:ea typeface="+mn-ea"/>
              <a:cs typeface="+mn-cs"/>
            </a:rPr>
            <a:t>1мм+0.5мм</a:t>
          </a:r>
          <a:endParaRPr lang="en-US" sz="1200" b="1" i="0" baseline="0">
            <a:effectLst/>
            <a:latin typeface="+mn-lt"/>
            <a:ea typeface="+mn-ea"/>
            <a:cs typeface="+mn-cs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393700</xdr:colOff>
      <xdr:row>56</xdr:row>
      <xdr:rowOff>4445</xdr:rowOff>
    </xdr:from>
    <xdr:to>
      <xdr:col>16</xdr:col>
      <xdr:colOff>411480</xdr:colOff>
      <xdr:row>62</xdr:row>
      <xdr:rowOff>5080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CxnSpPr>
          <a:stCxn id="11" idx="3"/>
          <a:endCxn id="16" idx="0"/>
        </xdr:cNvCxnSpPr>
      </xdr:nvCxnSpPr>
      <xdr:spPr>
        <a:xfrm>
          <a:off x="10147300" y="12318365"/>
          <a:ext cx="627380" cy="10979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575310</xdr:colOff>
      <xdr:row>66</xdr:row>
      <xdr:rowOff>36830</xdr:rowOff>
    </xdr:from>
    <xdr:to>
      <xdr:col>15</xdr:col>
      <xdr:colOff>234950</xdr:colOff>
      <xdr:row>73</xdr:row>
      <xdr:rowOff>0</xdr:rowOff>
    </xdr:to>
    <xdr:sp macro="" textlink="">
      <xdr:nvSpPr>
        <xdr:cNvPr id="37" name="Rectangle 6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7947660" y="13028930"/>
          <a:ext cx="2098040" cy="12966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16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мм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-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8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15</xdr:col>
      <xdr:colOff>467360</xdr:colOff>
      <xdr:row>66</xdr:row>
      <xdr:rowOff>30480</xdr:rowOff>
    </xdr:from>
    <xdr:to>
      <xdr:col>19</xdr:col>
      <xdr:colOff>127000</xdr:colOff>
      <xdr:row>72</xdr:row>
      <xdr:rowOff>184150</xdr:rowOff>
    </xdr:to>
    <xdr:sp macro="" textlink="">
      <xdr:nvSpPr>
        <xdr:cNvPr id="38" name="Rectangle 66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10278110" y="13022580"/>
          <a:ext cx="2098040" cy="12966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-8 мм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-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2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462281</xdr:colOff>
      <xdr:row>63</xdr:row>
      <xdr:rowOff>142874</xdr:rowOff>
    </xdr:from>
    <xdr:to>
      <xdr:col>16</xdr:col>
      <xdr:colOff>411481</xdr:colOff>
      <xdr:row>66</xdr:row>
      <xdr:rowOff>30479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CxnSpPr>
          <a:stCxn id="16" idx="2"/>
          <a:endCxn id="10" idx="0"/>
        </xdr:cNvCxnSpPr>
      </xdr:nvCxnSpPr>
      <xdr:spPr>
        <a:xfrm rot="5400000">
          <a:off x="8494078" y="10684827"/>
          <a:ext cx="459105" cy="42164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405131</xdr:colOff>
      <xdr:row>63</xdr:row>
      <xdr:rowOff>142874</xdr:rowOff>
    </xdr:from>
    <xdr:to>
      <xdr:col>16</xdr:col>
      <xdr:colOff>411481</xdr:colOff>
      <xdr:row>66</xdr:row>
      <xdr:rowOff>36829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CxnSpPr>
          <a:stCxn id="16" idx="2"/>
          <a:endCxn id="37" idx="0"/>
        </xdr:cNvCxnSpPr>
      </xdr:nvCxnSpPr>
      <xdr:spPr>
        <a:xfrm rot="5400000">
          <a:off x="9681528" y="11878627"/>
          <a:ext cx="465455" cy="18351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411481</xdr:colOff>
      <xdr:row>63</xdr:row>
      <xdr:rowOff>142874</xdr:rowOff>
    </xdr:from>
    <xdr:to>
      <xdr:col>17</xdr:col>
      <xdr:colOff>297181</xdr:colOff>
      <xdr:row>66</xdr:row>
      <xdr:rowOff>30479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CxnSpPr>
          <a:stCxn id="16" idx="2"/>
          <a:endCxn id="38" idx="0"/>
        </xdr:cNvCxnSpPr>
      </xdr:nvCxnSpPr>
      <xdr:spPr>
        <a:xfrm rot="16200000" flipH="1">
          <a:off x="10849928" y="12545377"/>
          <a:ext cx="459105" cy="4953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149225</xdr:colOff>
      <xdr:row>58</xdr:row>
      <xdr:rowOff>142874</xdr:rowOff>
    </xdr:from>
    <xdr:to>
      <xdr:col>26</xdr:col>
      <xdr:colOff>406400</xdr:colOff>
      <xdr:row>72</xdr:row>
      <xdr:rowOff>177799</xdr:rowOff>
    </xdr:to>
    <xdr:sp macro="" textlink="">
      <xdr:nvSpPr>
        <xdr:cNvPr id="42" name="Rectangle 8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14836775" y="11610974"/>
          <a:ext cx="2085975" cy="270192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Ширхэглэлийн фракц тус бүрийг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-0.5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мм+0.25мм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-0.25мм+0.15мм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-0.15мм+0.074мм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-0.074мм+0.038мм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-0.038мм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24</xdr:col>
      <xdr:colOff>582613</xdr:colOff>
      <xdr:row>55</xdr:row>
      <xdr:rowOff>40640</xdr:rowOff>
    </xdr:from>
    <xdr:to>
      <xdr:col>26</xdr:col>
      <xdr:colOff>127635</xdr:colOff>
      <xdr:row>58</xdr:row>
      <xdr:rowOff>142874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CxnSpPr>
          <a:stCxn id="17" idx="1"/>
          <a:endCxn id="42" idx="0"/>
        </xdr:cNvCxnSpPr>
      </xdr:nvCxnSpPr>
      <xdr:spPr>
        <a:xfrm rot="10800000" flipV="1">
          <a:off x="15879763" y="10899140"/>
          <a:ext cx="764222" cy="71183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308610</xdr:colOff>
      <xdr:row>67</xdr:row>
      <xdr:rowOff>144780</xdr:rowOff>
    </xdr:from>
    <xdr:to>
      <xdr:col>30</xdr:col>
      <xdr:colOff>577850</xdr:colOff>
      <xdr:row>74</xdr:row>
      <xdr:rowOff>95250</xdr:rowOff>
    </xdr:to>
    <xdr:sp macro="" textlink="">
      <xdr:nvSpPr>
        <xdr:cNvPr id="44" name="Rectangle 66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17434560" y="15041880"/>
          <a:ext cx="2098040" cy="12839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0.5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мм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-0.25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33</xdr:col>
      <xdr:colOff>365760</xdr:colOff>
      <xdr:row>67</xdr:row>
      <xdr:rowOff>81280</xdr:rowOff>
    </xdr:from>
    <xdr:to>
      <xdr:col>37</xdr:col>
      <xdr:colOff>25400</xdr:colOff>
      <xdr:row>74</xdr:row>
      <xdr:rowOff>44450</xdr:rowOff>
    </xdr:to>
    <xdr:sp macro="" textlink="">
      <xdr:nvSpPr>
        <xdr:cNvPr id="45" name="Rectangle 66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21149310" y="14978380"/>
          <a:ext cx="2098040" cy="129667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0.25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мм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-0 mm 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Флотацийн туршилт </a:t>
          </a:r>
        </a:p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8</xdr:col>
      <xdr:colOff>50800</xdr:colOff>
      <xdr:row>76</xdr:row>
      <xdr:rowOff>83820</xdr:rowOff>
    </xdr:from>
    <xdr:to>
      <xdr:col>11</xdr:col>
      <xdr:colOff>279400</xdr:colOff>
      <xdr:row>84</xdr:row>
      <xdr:rowOff>50800</xdr:rowOff>
    </xdr:to>
    <xdr:sp macro="" textlink="">
      <xdr:nvSpPr>
        <xdr:cNvPr id="46" name="Rectangle 8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5594350" y="14980920"/>
          <a:ext cx="2057400" cy="14909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Нягтын фракц тус бүрийг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603250</xdr:colOff>
      <xdr:row>76</xdr:row>
      <xdr:rowOff>7620</xdr:rowOff>
    </xdr:from>
    <xdr:to>
      <xdr:col>15</xdr:col>
      <xdr:colOff>209550</xdr:colOff>
      <xdr:row>84</xdr:row>
      <xdr:rowOff>50800</xdr:rowOff>
    </xdr:to>
    <xdr:sp macro="" textlink="">
      <xdr:nvSpPr>
        <xdr:cNvPr id="47" name="Rectangle 8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7975600" y="14904720"/>
          <a:ext cx="2044700" cy="15671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Нягтын фракц тус бүрийг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27</xdr:col>
      <xdr:colOff>279400</xdr:colOff>
      <xdr:row>76</xdr:row>
      <xdr:rowOff>77470</xdr:rowOff>
    </xdr:from>
    <xdr:to>
      <xdr:col>30</xdr:col>
      <xdr:colOff>571500</xdr:colOff>
      <xdr:row>84</xdr:row>
      <xdr:rowOff>6350</xdr:rowOff>
    </xdr:to>
    <xdr:sp macro="" textlink="">
      <xdr:nvSpPr>
        <xdr:cNvPr id="48" name="Rectangle 8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17405350" y="16689070"/>
          <a:ext cx="2120900" cy="14528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Нягтын фракц тус бүрийг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33</xdr:col>
      <xdr:colOff>349250</xdr:colOff>
      <xdr:row>76</xdr:row>
      <xdr:rowOff>71120</xdr:rowOff>
    </xdr:from>
    <xdr:to>
      <xdr:col>36</xdr:col>
      <xdr:colOff>565150</xdr:colOff>
      <xdr:row>84</xdr:row>
      <xdr:rowOff>38100</xdr:rowOff>
    </xdr:to>
    <xdr:sp macro="" textlink="">
      <xdr:nvSpPr>
        <xdr:cNvPr id="49" name="Rectangle 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21132800" y="16682720"/>
          <a:ext cx="2044700" cy="14909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Фракц тус бүрийг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488950</xdr:colOff>
      <xdr:row>76</xdr:row>
      <xdr:rowOff>76200</xdr:rowOff>
    </xdr:from>
    <xdr:to>
      <xdr:col>19</xdr:col>
      <xdr:colOff>95250</xdr:colOff>
      <xdr:row>84</xdr:row>
      <xdr:rowOff>57150</xdr:rowOff>
    </xdr:to>
    <xdr:sp macro="" textlink="">
      <xdr:nvSpPr>
        <xdr:cNvPr id="50" name="Rectangle 8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10299700" y="14973300"/>
          <a:ext cx="2044700" cy="150495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Нягтын фракц тус бүрийг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462280</xdr:colOff>
      <xdr:row>72</xdr:row>
      <xdr:rowOff>184150</xdr:rowOff>
    </xdr:from>
    <xdr:to>
      <xdr:col>9</xdr:col>
      <xdr:colOff>469900</xdr:colOff>
      <xdr:row>76</xdr:row>
      <xdr:rowOff>83820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CxnSpPr>
          <a:stCxn id="10" idx="2"/>
          <a:endCxn id="46" idx="0"/>
        </xdr:cNvCxnSpPr>
      </xdr:nvCxnSpPr>
      <xdr:spPr>
        <a:xfrm rot="16200000" flipH="1">
          <a:off x="6288405" y="14646275"/>
          <a:ext cx="661670" cy="762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405130</xdr:colOff>
      <xdr:row>73</xdr:row>
      <xdr:rowOff>0</xdr:rowOff>
    </xdr:from>
    <xdr:to>
      <xdr:col>13</xdr:col>
      <xdr:colOff>406400</xdr:colOff>
      <xdr:row>76</xdr:row>
      <xdr:rowOff>7620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CxnSpPr>
          <a:stCxn id="37" idx="2"/>
          <a:endCxn id="47" idx="0"/>
        </xdr:cNvCxnSpPr>
      </xdr:nvCxnSpPr>
      <xdr:spPr>
        <a:xfrm rot="16200000" flipH="1">
          <a:off x="8707755" y="14614525"/>
          <a:ext cx="579120" cy="127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292100</xdr:colOff>
      <xdr:row>72</xdr:row>
      <xdr:rowOff>184150</xdr:rowOff>
    </xdr:from>
    <xdr:to>
      <xdr:col>17</xdr:col>
      <xdr:colOff>297180</xdr:colOff>
      <xdr:row>76</xdr:row>
      <xdr:rowOff>76200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CxnSpPr>
          <a:stCxn id="38" idx="2"/>
          <a:endCxn id="50" idx="0"/>
        </xdr:cNvCxnSpPr>
      </xdr:nvCxnSpPr>
      <xdr:spPr>
        <a:xfrm rot="5400000">
          <a:off x="10997565" y="14643735"/>
          <a:ext cx="654050" cy="508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120650</xdr:colOff>
      <xdr:row>74</xdr:row>
      <xdr:rowOff>95250</xdr:rowOff>
    </xdr:from>
    <xdr:to>
      <xdr:col>29</xdr:col>
      <xdr:colOff>138430</xdr:colOff>
      <xdr:row>76</xdr:row>
      <xdr:rowOff>77470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CxnSpPr>
          <a:stCxn id="44" idx="2"/>
          <a:endCxn id="48" idx="0"/>
        </xdr:cNvCxnSpPr>
      </xdr:nvCxnSpPr>
      <xdr:spPr>
        <a:xfrm rot="5400000">
          <a:off x="18293080" y="16498570"/>
          <a:ext cx="363220" cy="1778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152400</xdr:colOff>
      <xdr:row>74</xdr:row>
      <xdr:rowOff>44450</xdr:rowOff>
    </xdr:from>
    <xdr:to>
      <xdr:col>35</xdr:col>
      <xdr:colOff>195580</xdr:colOff>
      <xdr:row>76</xdr:row>
      <xdr:rowOff>71120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CxnSpPr>
          <a:stCxn id="45" idx="2"/>
          <a:endCxn id="49" idx="0"/>
        </xdr:cNvCxnSpPr>
      </xdr:nvCxnSpPr>
      <xdr:spPr>
        <a:xfrm rot="5400000">
          <a:off x="21972905" y="16457295"/>
          <a:ext cx="407670" cy="4318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480060</xdr:colOff>
      <xdr:row>62</xdr:row>
      <xdr:rowOff>24130</xdr:rowOff>
    </xdr:from>
    <xdr:to>
      <xdr:col>33</xdr:col>
      <xdr:colOff>165100</xdr:colOff>
      <xdr:row>63</xdr:row>
      <xdr:rowOff>161925</xdr:rowOff>
    </xdr:to>
    <xdr:sp macro="" textlink="">
      <xdr:nvSpPr>
        <xdr:cNvPr id="56" name="Rectangle 6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18768060" y="13435330"/>
          <a:ext cx="2123440" cy="320675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Хөвүүлэн баяжуулалт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30</xdr:col>
      <xdr:colOff>79375</xdr:colOff>
      <xdr:row>55</xdr:row>
      <xdr:rowOff>45403</xdr:rowOff>
    </xdr:from>
    <xdr:to>
      <xdr:col>31</xdr:col>
      <xdr:colOff>322580</xdr:colOff>
      <xdr:row>62</xdr:row>
      <xdr:rowOff>24130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CxnSpPr>
          <a:stCxn id="17" idx="3"/>
          <a:endCxn id="56" idx="0"/>
        </xdr:cNvCxnSpPr>
      </xdr:nvCxnSpPr>
      <xdr:spPr>
        <a:xfrm>
          <a:off x="18976975" y="12130723"/>
          <a:ext cx="852805" cy="130460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138431</xdr:colOff>
      <xdr:row>63</xdr:row>
      <xdr:rowOff>161924</xdr:rowOff>
    </xdr:from>
    <xdr:to>
      <xdr:col>31</xdr:col>
      <xdr:colOff>322581</xdr:colOff>
      <xdr:row>67</xdr:row>
      <xdr:rowOff>144779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CxnSpPr>
          <a:stCxn id="56" idx="2"/>
          <a:endCxn id="44" idx="0"/>
        </xdr:cNvCxnSpPr>
      </xdr:nvCxnSpPr>
      <xdr:spPr>
        <a:xfrm rot="5400000">
          <a:off x="18812828" y="13967777"/>
          <a:ext cx="744855" cy="14033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79375</xdr:colOff>
      <xdr:row>55</xdr:row>
      <xdr:rowOff>40640</xdr:rowOff>
    </xdr:from>
    <xdr:to>
      <xdr:col>35</xdr:col>
      <xdr:colOff>195580</xdr:colOff>
      <xdr:row>67</xdr:row>
      <xdr:rowOff>81280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CxnSpPr>
          <a:stCxn id="17" idx="3"/>
          <a:endCxn id="45" idx="0"/>
        </xdr:cNvCxnSpPr>
      </xdr:nvCxnSpPr>
      <xdr:spPr>
        <a:xfrm>
          <a:off x="19034125" y="12613640"/>
          <a:ext cx="3164205" cy="236474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393700</xdr:colOff>
      <xdr:row>19</xdr:row>
      <xdr:rowOff>127000</xdr:rowOff>
    </xdr:from>
    <xdr:to>
      <xdr:col>15</xdr:col>
      <xdr:colOff>382270</xdr:colOff>
      <xdr:row>23</xdr:row>
      <xdr:rowOff>44450</xdr:rowOff>
    </xdr:to>
    <xdr:sp macro="" textlink="">
      <xdr:nvSpPr>
        <xdr:cNvPr id="60" name="Rectangle 32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7156450" y="4775200"/>
          <a:ext cx="3036570" cy="67945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+50 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мм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&amp; -50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мм массыг тодорхойлох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13</xdr:col>
      <xdr:colOff>81915</xdr:colOff>
      <xdr:row>23</xdr:row>
      <xdr:rowOff>44450</xdr:rowOff>
    </xdr:from>
    <xdr:to>
      <xdr:col>13</xdr:col>
      <xdr:colOff>83185</xdr:colOff>
      <xdr:row>25</xdr:row>
      <xdr:rowOff>38100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CxnSpPr>
          <a:stCxn id="60" idx="2"/>
          <a:endCxn id="14" idx="0"/>
        </xdr:cNvCxnSpPr>
      </xdr:nvCxnSpPr>
      <xdr:spPr>
        <a:xfrm rot="5400000">
          <a:off x="8486775" y="5641340"/>
          <a:ext cx="374650" cy="127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568458</xdr:colOff>
      <xdr:row>27</xdr:row>
      <xdr:rowOff>98934</xdr:rowOff>
    </xdr:from>
    <xdr:to>
      <xdr:col>10</xdr:col>
      <xdr:colOff>383540</xdr:colOff>
      <xdr:row>31</xdr:row>
      <xdr:rowOff>82551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CxnSpPr>
          <a:stCxn id="6" idx="1"/>
          <a:endCxn id="63" idx="0"/>
        </xdr:cNvCxnSpPr>
      </xdr:nvCxnSpPr>
      <xdr:spPr>
        <a:xfrm rot="10800000">
          <a:off x="3069611" y="6876252"/>
          <a:ext cx="4082282" cy="700793"/>
        </a:xfrm>
        <a:prstGeom prst="bentConnector4">
          <a:avLst>
            <a:gd name="adj1" fmla="val 35434"/>
            <a:gd name="adj2" fmla="val 13262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1270746</xdr:colOff>
      <xdr:row>27</xdr:row>
      <xdr:rowOff>98933</xdr:rowOff>
    </xdr:from>
    <xdr:to>
      <xdr:col>5</xdr:col>
      <xdr:colOff>538522</xdr:colOff>
      <xdr:row>39</xdr:row>
      <xdr:rowOff>163926</xdr:rowOff>
    </xdr:to>
    <xdr:sp macro="" textlink="">
      <xdr:nvSpPr>
        <xdr:cNvPr id="63" name="Rectangle 8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1880346" y="6876251"/>
          <a:ext cx="2378529" cy="2216522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Анхдагч шинжилгээнд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100" b="1" i="0" baseline="0">
              <a:effectLst/>
              <a:latin typeface="+mn-lt"/>
              <a:ea typeface="+mn-ea"/>
              <a:cs typeface="+mn-cs"/>
            </a:rPr>
            <a:t>Чийг /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IM, TM</a:t>
          </a:r>
          <a:r>
            <a:rPr lang="mn-MN" sz="1100" b="1" i="0" baseline="0">
              <a:effectLst/>
              <a:latin typeface="+mn-lt"/>
              <a:ea typeface="+mn-ea"/>
              <a:cs typeface="+mn-cs"/>
            </a:rPr>
            <a:t>/</a:t>
          </a:r>
          <a:endParaRPr lang="en-US" sz="11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100" b="1" i="0" baseline="0">
              <a:effectLst/>
              <a:latin typeface="+mn-lt"/>
              <a:ea typeface="+mn-ea"/>
              <a:cs typeface="+mn-cs"/>
            </a:rPr>
            <a:t>Үнслэг</a:t>
          </a:r>
          <a:endParaRPr lang="en-US" sz="12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100" b="1" i="0" baseline="0">
              <a:effectLst/>
              <a:latin typeface="+mn-lt"/>
              <a:ea typeface="+mn-ea"/>
              <a:cs typeface="+mn-cs"/>
            </a:rPr>
            <a:t>Дэгдэмхий </a:t>
          </a:r>
          <a:endParaRPr lang="en-US" sz="12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CSN</a:t>
          </a:r>
          <a:endParaRPr lang="en-US" sz="1200" b="0" i="0" baseline="0">
            <a:effectLst/>
            <a:latin typeface="+mn-lt"/>
            <a:ea typeface="+mn-ea"/>
            <a:cs typeface="+mn-cs"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en-US" sz="1200" b="1" i="0" u="none" strike="noStrike" baseline="0">
              <a:solidFill>
                <a:srgbClr val="000000"/>
              </a:solidFill>
              <a:effectLst/>
              <a:latin typeface="+mn-lt"/>
              <a:ea typeface="+mn-ea"/>
              <a:cs typeface="+mn-cs"/>
            </a:rPr>
            <a:t>G index</a:t>
          </a: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en-US" sz="1200" b="1" i="0" u="none" strike="noStrike" baseline="0">
              <a:solidFill>
                <a:srgbClr val="000000"/>
              </a:solidFill>
              <a:effectLst/>
              <a:latin typeface="+mn-lt"/>
              <a:ea typeface="+mn-ea"/>
              <a:cs typeface="+mn-cs"/>
            </a:rPr>
            <a:t>sulphur</a:t>
          </a: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en-US" sz="1200" b="1" i="0" u="none" strike="noStrike" baseline="0">
              <a:solidFill>
                <a:srgbClr val="000000"/>
              </a:solidFill>
              <a:effectLst/>
              <a:latin typeface="+mn-lt"/>
              <a:ea typeface="+mn-ea"/>
              <a:cs typeface="+mn-cs"/>
            </a:rPr>
            <a:t>TRD</a:t>
          </a:r>
        </a:p>
        <a:p>
          <a:pPr marL="171450" indent="-171450" rtl="0">
            <a:buFont typeface="Arial" panose="020B0604020202020204" pitchFamily="34" charset="0"/>
            <a:buChar char="•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Petrograph (300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грамм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)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buFont typeface="Arial" panose="020B0604020202020204" pitchFamily="34" charset="0"/>
            <a:buNone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559434</xdr:colOff>
      <xdr:row>89</xdr:row>
      <xdr:rowOff>25400</xdr:rowOff>
    </xdr:from>
    <xdr:to>
      <xdr:col>26</xdr:col>
      <xdr:colOff>393700</xdr:colOff>
      <xdr:row>93</xdr:row>
      <xdr:rowOff>88900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4027784" y="19494500"/>
          <a:ext cx="2882266" cy="82550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indent="0" algn="ctr" rtl="0">
            <a:buFont typeface="Arial" panose="020B0604020202020204" pitchFamily="34" charset="0"/>
            <a:buNone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marL="0" indent="0" algn="ctr" rtl="0">
            <a:buFont typeface="Arial" panose="020B0604020202020204" pitchFamily="34" charset="0"/>
            <a:buNone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Бүтээгдэхүүний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composite 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бэлдэх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469899</xdr:colOff>
      <xdr:row>84</xdr:row>
      <xdr:rowOff>50800</xdr:rowOff>
    </xdr:from>
    <xdr:to>
      <xdr:col>24</xdr:col>
      <xdr:colOff>171766</xdr:colOff>
      <xdr:row>89</xdr:row>
      <xdr:rowOff>25400</xdr:rowOff>
    </xdr:to>
    <xdr:cxnSp macro="">
      <xdr:nvCxnSpPr>
        <xdr:cNvPr id="65" name="Connector: Elbow 64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CxnSpPr>
          <a:stCxn id="46" idx="2"/>
          <a:endCxn id="64" idx="0"/>
        </xdr:cNvCxnSpPr>
      </xdr:nvCxnSpPr>
      <xdr:spPr>
        <a:xfrm rot="16200000" flipH="1">
          <a:off x="10582433" y="12512516"/>
          <a:ext cx="927100" cy="884586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406399</xdr:colOff>
      <xdr:row>84</xdr:row>
      <xdr:rowOff>50800</xdr:rowOff>
    </xdr:from>
    <xdr:to>
      <xdr:col>24</xdr:col>
      <xdr:colOff>171766</xdr:colOff>
      <xdr:row>89</xdr:row>
      <xdr:rowOff>25400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CxnSpPr>
          <a:stCxn id="47" idx="2"/>
          <a:endCxn id="64" idx="0"/>
        </xdr:cNvCxnSpPr>
      </xdr:nvCxnSpPr>
      <xdr:spPr>
        <a:xfrm rot="16200000" flipH="1">
          <a:off x="11769883" y="13699966"/>
          <a:ext cx="927100" cy="647096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292099</xdr:colOff>
      <xdr:row>84</xdr:row>
      <xdr:rowOff>57150</xdr:rowOff>
    </xdr:from>
    <xdr:to>
      <xdr:col>24</xdr:col>
      <xdr:colOff>171766</xdr:colOff>
      <xdr:row>89</xdr:row>
      <xdr:rowOff>25400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CxnSpPr>
          <a:stCxn id="50" idx="2"/>
          <a:endCxn id="64" idx="0"/>
        </xdr:cNvCxnSpPr>
      </xdr:nvCxnSpPr>
      <xdr:spPr>
        <a:xfrm rot="16200000" flipH="1">
          <a:off x="12935108" y="14865191"/>
          <a:ext cx="920750" cy="414686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171767</xdr:colOff>
      <xdr:row>84</xdr:row>
      <xdr:rowOff>6351</xdr:rowOff>
    </xdr:from>
    <xdr:to>
      <xdr:col>29</xdr:col>
      <xdr:colOff>120650</xdr:colOff>
      <xdr:row>89</xdr:row>
      <xdr:rowOff>25401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CxnSpPr>
          <a:stCxn id="48" idx="2"/>
          <a:endCxn id="64" idx="0"/>
        </xdr:cNvCxnSpPr>
      </xdr:nvCxnSpPr>
      <xdr:spPr>
        <a:xfrm rot="5400000">
          <a:off x="16291084" y="17319784"/>
          <a:ext cx="1352550" cy="299688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171767</xdr:colOff>
      <xdr:row>84</xdr:row>
      <xdr:rowOff>38101</xdr:rowOff>
    </xdr:from>
    <xdr:to>
      <xdr:col>35</xdr:col>
      <xdr:colOff>152400</xdr:colOff>
      <xdr:row>89</xdr:row>
      <xdr:rowOff>25401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CxnSpPr>
          <a:stCxn id="49" idx="2"/>
          <a:endCxn id="64" idx="0"/>
        </xdr:cNvCxnSpPr>
      </xdr:nvCxnSpPr>
      <xdr:spPr>
        <a:xfrm rot="5400000">
          <a:off x="18151634" y="15490984"/>
          <a:ext cx="1320800" cy="668623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431800</xdr:colOff>
      <xdr:row>95</xdr:row>
      <xdr:rowOff>64770</xdr:rowOff>
    </xdr:from>
    <xdr:to>
      <xdr:col>26</xdr:col>
      <xdr:colOff>533400</xdr:colOff>
      <xdr:row>106</xdr:row>
      <xdr:rowOff>44450</xdr:rowOff>
    </xdr:to>
    <xdr:sp macro="" textlink="">
      <xdr:nvSpPr>
        <xdr:cNvPr id="70" name="Rectangle 8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13900150" y="19343370"/>
          <a:ext cx="3149600" cy="20751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Composite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Бүтээгдэхүүнийг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G index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TRD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Petrograph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24</xdr:col>
      <xdr:colOff>171767</xdr:colOff>
      <xdr:row>93</xdr:row>
      <xdr:rowOff>88900</xdr:rowOff>
    </xdr:from>
    <xdr:to>
      <xdr:col>24</xdr:col>
      <xdr:colOff>177800</xdr:colOff>
      <xdr:row>95</xdr:row>
      <xdr:rowOff>64770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CxnSpPr>
          <a:stCxn id="64" idx="2"/>
          <a:endCxn id="70" idx="0"/>
        </xdr:cNvCxnSpPr>
      </xdr:nvCxnSpPr>
      <xdr:spPr>
        <a:xfrm>
          <a:off x="15468917" y="18986500"/>
          <a:ext cx="6033" cy="3568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88900</xdr:colOff>
      <xdr:row>27</xdr:row>
      <xdr:rowOff>101600</xdr:rowOff>
    </xdr:from>
    <xdr:to>
      <xdr:col>13</xdr:col>
      <xdr:colOff>90170</xdr:colOff>
      <xdr:row>30</xdr:row>
      <xdr:rowOff>38100</xdr:rowOff>
    </xdr:to>
    <xdr:cxnSp macro="">
      <xdr:nvCxnSpPr>
        <xdr:cNvPr id="85" name="Connector: Elbow 60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CxnSpPr/>
      </xdr:nvCxnSpPr>
      <xdr:spPr>
        <a:xfrm rot="5400000">
          <a:off x="8388985" y="7066915"/>
          <a:ext cx="469900" cy="1270"/>
        </a:xfrm>
        <a:prstGeom prst="bentConnector3">
          <a:avLst>
            <a:gd name="adj1" fmla="val 7973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238760</xdr:colOff>
      <xdr:row>66</xdr:row>
      <xdr:rowOff>30480</xdr:rowOff>
    </xdr:from>
    <xdr:to>
      <xdr:col>22</xdr:col>
      <xdr:colOff>508000</xdr:colOff>
      <xdr:row>72</xdr:row>
      <xdr:rowOff>184150</xdr:rowOff>
    </xdr:to>
    <xdr:sp macro="" textlink="">
      <xdr:nvSpPr>
        <xdr:cNvPr id="101" name="Rectangle 66">
          <a:extLst>
            <a:ext uri="{FF2B5EF4-FFF2-40B4-BE49-F238E27FC236}">
              <a16:creationId xmlns:a16="http://schemas.microsoft.com/office/drawing/2014/main" xmlns="" id="{0F5B8C1B-1EA9-4226-BE17-68111B40B3A0}"/>
            </a:ext>
          </a:extLst>
        </xdr:cNvPr>
        <xdr:cNvSpPr>
          <a:spLocks noChangeArrowheads="1"/>
        </xdr:cNvSpPr>
      </xdr:nvSpPr>
      <xdr:spPr bwMode="auto">
        <a:xfrm>
          <a:off x="12487910" y="13022580"/>
          <a:ext cx="2098040" cy="12966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2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мм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-0.5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19</xdr:col>
      <xdr:colOff>260350</xdr:colOff>
      <xdr:row>76</xdr:row>
      <xdr:rowOff>57150</xdr:rowOff>
    </xdr:from>
    <xdr:to>
      <xdr:col>22</xdr:col>
      <xdr:colOff>476250</xdr:colOff>
      <xdr:row>84</xdr:row>
      <xdr:rowOff>38100</xdr:rowOff>
    </xdr:to>
    <xdr:sp macro="" textlink="">
      <xdr:nvSpPr>
        <xdr:cNvPr id="105" name="Rectangle 8">
          <a:extLst>
            <a:ext uri="{FF2B5EF4-FFF2-40B4-BE49-F238E27FC236}">
              <a16:creationId xmlns:a16="http://schemas.microsoft.com/office/drawing/2014/main" xmlns="" id="{5624D0B9-F5A8-49A1-B0CA-4A19ED49C45D}"/>
            </a:ext>
          </a:extLst>
        </xdr:cNvPr>
        <xdr:cNvSpPr>
          <a:spLocks noChangeArrowheads="1"/>
        </xdr:cNvSpPr>
      </xdr:nvSpPr>
      <xdr:spPr bwMode="auto">
        <a:xfrm>
          <a:off x="12509500" y="14954250"/>
          <a:ext cx="2044700" cy="150495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Нягтын фракц тус бүрийг шинжилгээнд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Чийг /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Үнслэг</a:t>
          </a:r>
          <a:endParaRPr lang="en-US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Дэгдэмхий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411481</xdr:colOff>
      <xdr:row>63</xdr:row>
      <xdr:rowOff>142874</xdr:rowOff>
    </xdr:from>
    <xdr:to>
      <xdr:col>21</xdr:col>
      <xdr:colOff>68581</xdr:colOff>
      <xdr:row>66</xdr:row>
      <xdr:rowOff>30479</xdr:rowOff>
    </xdr:to>
    <xdr:cxnSp macro="">
      <xdr:nvCxnSpPr>
        <xdr:cNvPr id="107" name="Connector: Elbow 106">
          <a:extLst>
            <a:ext uri="{FF2B5EF4-FFF2-40B4-BE49-F238E27FC236}">
              <a16:creationId xmlns:a16="http://schemas.microsoft.com/office/drawing/2014/main" xmlns="" id="{D170DE97-BFA6-44C8-B75F-8DD45A24DA40}"/>
            </a:ext>
          </a:extLst>
        </xdr:cNvPr>
        <xdr:cNvCxnSpPr>
          <a:stCxn id="16" idx="2"/>
          <a:endCxn id="101" idx="0"/>
        </xdr:cNvCxnSpPr>
      </xdr:nvCxnSpPr>
      <xdr:spPr>
        <a:xfrm rot="16200000" flipH="1">
          <a:off x="11954828" y="11440477"/>
          <a:ext cx="459105" cy="27051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63500</xdr:colOff>
      <xdr:row>72</xdr:row>
      <xdr:rowOff>184150</xdr:rowOff>
    </xdr:from>
    <xdr:to>
      <xdr:col>21</xdr:col>
      <xdr:colOff>68580</xdr:colOff>
      <xdr:row>76</xdr:row>
      <xdr:rowOff>57150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xmlns="" id="{B973D502-28A8-46C3-B810-1FE6D0156085}"/>
            </a:ext>
          </a:extLst>
        </xdr:cNvPr>
        <xdr:cNvCxnSpPr>
          <a:stCxn id="101" idx="2"/>
          <a:endCxn id="105" idx="0"/>
        </xdr:cNvCxnSpPr>
      </xdr:nvCxnSpPr>
      <xdr:spPr>
        <a:xfrm flipH="1">
          <a:off x="13531850" y="14319250"/>
          <a:ext cx="5080" cy="635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180340</xdr:colOff>
      <xdr:row>2</xdr:row>
      <xdr:rowOff>88900</xdr:rowOff>
    </xdr:from>
    <xdr:to>
      <xdr:col>15</xdr:col>
      <xdr:colOff>0</xdr:colOff>
      <xdr:row>7</xdr:row>
      <xdr:rowOff>114300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7495540" y="596900"/>
          <a:ext cx="2258060" cy="1066800"/>
        </a:xfrm>
        <a:prstGeom prst="ellipse">
          <a:avLst/>
        </a:prstGeom>
        <a:solidFill>
          <a:srgbClr val="ACB9CA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Sample collection (in pit 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sample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)</a:t>
          </a:r>
          <a:endParaRPr lang="mn-MN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(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250-300 к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g)</a:t>
          </a:r>
        </a:p>
      </xdr:txBody>
    </xdr:sp>
    <xdr:clientData/>
  </xdr:twoCellAnchor>
  <xdr:twoCellAnchor>
    <xdr:from>
      <xdr:col>10</xdr:col>
      <xdr:colOff>367030</xdr:colOff>
      <xdr:row>10</xdr:row>
      <xdr:rowOff>19050</xdr:rowOff>
    </xdr:from>
    <xdr:to>
      <xdr:col>15</xdr:col>
      <xdr:colOff>406400</xdr:colOff>
      <xdr:row>13</xdr:row>
      <xdr:rowOff>52070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7072630" y="2137410"/>
          <a:ext cx="3087370" cy="58166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Check all sample ID correspond to the sample sheet</a:t>
          </a:r>
        </a:p>
      </xdr:txBody>
    </xdr:sp>
    <xdr:clientData/>
  </xdr:twoCellAnchor>
  <xdr:twoCellAnchor>
    <xdr:from>
      <xdr:col>10</xdr:col>
      <xdr:colOff>379730</xdr:colOff>
      <xdr:row>15</xdr:row>
      <xdr:rowOff>0</xdr:rowOff>
    </xdr:from>
    <xdr:to>
      <xdr:col>15</xdr:col>
      <xdr:colOff>393700</xdr:colOff>
      <xdr:row>18</xdr:row>
      <xdr:rowOff>69850</xdr:rowOff>
    </xdr:to>
    <xdr:sp macro="" textlink="">
      <xdr:nvSpPr>
        <xdr:cNvPr id="4" name="Rectangle 16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7085330" y="3032760"/>
          <a:ext cx="3061970" cy="61849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Weigh, air-dry and reweigh</a:t>
          </a:r>
        </a:p>
      </xdr:txBody>
    </xdr:sp>
    <xdr:clientData/>
  </xdr:twoCellAnchor>
  <xdr:twoCellAnchor>
    <xdr:from>
      <xdr:col>10</xdr:col>
      <xdr:colOff>392430</xdr:colOff>
      <xdr:row>21</xdr:row>
      <xdr:rowOff>63500</xdr:rowOff>
    </xdr:from>
    <xdr:to>
      <xdr:col>15</xdr:col>
      <xdr:colOff>381000</xdr:colOff>
      <xdr:row>24</xdr:row>
      <xdr:rowOff>158750</xdr:rowOff>
    </xdr:to>
    <xdr:sp macro="" textlink="">
      <xdr:nvSpPr>
        <xdr:cNvPr id="5" name="Rectangle 32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7098030" y="4193540"/>
          <a:ext cx="3036570" cy="64389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Drop shatter , 2meter ,  15 times</a:t>
          </a:r>
        </a:p>
      </xdr:txBody>
    </xdr:sp>
    <xdr:clientData/>
  </xdr:twoCellAnchor>
  <xdr:twoCellAnchor>
    <xdr:from>
      <xdr:col>10</xdr:col>
      <xdr:colOff>383540</xdr:colOff>
      <xdr:row>39</xdr:row>
      <xdr:rowOff>19050</xdr:rowOff>
    </xdr:from>
    <xdr:to>
      <xdr:col>15</xdr:col>
      <xdr:colOff>425450</xdr:colOff>
      <xdr:row>41</xdr:row>
      <xdr:rowOff>146050</xdr:rowOff>
    </xdr:to>
    <xdr:sp macro="" textlink="">
      <xdr:nvSpPr>
        <xdr:cNvPr id="6" name="Rectangle 33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7089140" y="7440930"/>
          <a:ext cx="3089910" cy="49276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 i="0" baseline="0">
              <a:effectLst/>
              <a:latin typeface="+mn-lt"/>
              <a:ea typeface="+mn-ea"/>
              <a:cs typeface="+mn-cs"/>
            </a:rPr>
            <a:t>Reduce sample weight up to ~100kg</a:t>
          </a:r>
          <a:endParaRPr lang="en-US" sz="1400" b="0" i="0" baseline="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393700</xdr:colOff>
      <xdr:row>43</xdr:row>
      <xdr:rowOff>95250</xdr:rowOff>
    </xdr:from>
    <xdr:to>
      <xdr:col>15</xdr:col>
      <xdr:colOff>425450</xdr:colOff>
      <xdr:row>45</xdr:row>
      <xdr:rowOff>177800</xdr:rowOff>
    </xdr:to>
    <xdr:sp macro="" textlink="">
      <xdr:nvSpPr>
        <xdr:cNvPr id="7" name="Rectangle 3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7099300" y="8553450"/>
          <a:ext cx="3079750" cy="46355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Dry tumbler -3min (no cube)</a:t>
          </a:r>
          <a:endParaRPr lang="mn-MN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10</xdr:col>
      <xdr:colOff>425450</xdr:colOff>
      <xdr:row>47</xdr:row>
      <xdr:rowOff>38100</xdr:rowOff>
    </xdr:from>
    <xdr:to>
      <xdr:col>15</xdr:col>
      <xdr:colOff>381000</xdr:colOff>
      <xdr:row>51</xdr:row>
      <xdr:rowOff>38100</xdr:rowOff>
    </xdr:to>
    <xdr:sp macro="" textlink="">
      <xdr:nvSpPr>
        <xdr:cNvPr id="8" name="Rectangle 35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131050" y="9258300"/>
          <a:ext cx="3003550" cy="76200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Dry sizing</a:t>
          </a:r>
          <a:endParaRPr lang="mn-MN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(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32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16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8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4.75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2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1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mm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)</a:t>
          </a: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16</xdr:col>
      <xdr:colOff>558800</xdr:colOff>
      <xdr:row>57</xdr:row>
      <xdr:rowOff>12700</xdr:rowOff>
    </xdr:from>
    <xdr:to>
      <xdr:col>20</xdr:col>
      <xdr:colOff>190500</xdr:colOff>
      <xdr:row>63</xdr:row>
      <xdr:rowOff>101600</xdr:rowOff>
    </xdr:to>
    <xdr:sp macro="" textlink="">
      <xdr:nvSpPr>
        <xdr:cNvPr id="9" name="Rectangle 63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10922000" y="10772140"/>
          <a:ext cx="2070100" cy="118618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To combine each size fractions and rotate on wet  tumbler -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min 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/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with cub 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/</a:t>
          </a:r>
          <a:endParaRPr lang="en-US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8</xdr:col>
      <xdr:colOff>3810</xdr:colOff>
      <xdr:row>79</xdr:row>
      <xdr:rowOff>87630</xdr:rowOff>
    </xdr:from>
    <xdr:to>
      <xdr:col>11</xdr:col>
      <xdr:colOff>273050</xdr:colOff>
      <xdr:row>86</xdr:row>
      <xdr:rowOff>50800</xdr:rowOff>
    </xdr:to>
    <xdr:sp macro="" textlink="">
      <xdr:nvSpPr>
        <xdr:cNvPr id="10" name="Rectangle 66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5566410" y="15594330"/>
          <a:ext cx="2098040" cy="12966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-50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-1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6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11</xdr:col>
      <xdr:colOff>546100</xdr:colOff>
      <xdr:row>63</xdr:row>
      <xdr:rowOff>97790</xdr:rowOff>
    </xdr:from>
    <xdr:to>
      <xdr:col>15</xdr:col>
      <xdr:colOff>393700</xdr:colOff>
      <xdr:row>66</xdr:row>
      <xdr:rowOff>139700</xdr:rowOff>
    </xdr:to>
    <xdr:sp macro="" textlink="">
      <xdr:nvSpPr>
        <xdr:cNvPr id="11" name="Rectangle 31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7861300" y="11954510"/>
          <a:ext cx="2286000" cy="68199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Wet Sizing </a:t>
          </a:r>
          <a:endParaRPr lang="mn-MN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Dry sample </a:t>
          </a:r>
          <a:endParaRPr lang="mn-MN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0</xdr:col>
      <xdr:colOff>190500</xdr:colOff>
      <xdr:row>56</xdr:row>
      <xdr:rowOff>114300</xdr:rowOff>
    </xdr:from>
    <xdr:to>
      <xdr:col>2</xdr:col>
      <xdr:colOff>514350</xdr:colOff>
      <xdr:row>70</xdr:row>
      <xdr:rowOff>57150</xdr:rowOff>
    </xdr:to>
    <xdr:sp macro="" textlink="">
      <xdr:nvSpPr>
        <xdr:cNvPr id="12" name="Rectangle 8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90500" y="11087100"/>
          <a:ext cx="2152650" cy="272415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Primary analysis: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+32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, </a:t>
          </a: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-32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+8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, </a:t>
          </a: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-8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+4.75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-4.75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+2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-2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+1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buFont typeface="Arial" panose="020B0604020202020204" pitchFamily="34" charset="0"/>
            <a:buNone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-1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buFont typeface="Arial" panose="020B0604020202020204" pitchFamily="34" charset="0"/>
            <a:buNone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29</xdr:col>
      <xdr:colOff>514350</xdr:colOff>
      <xdr:row>170</xdr:row>
      <xdr:rowOff>133350</xdr:rowOff>
    </xdr:from>
    <xdr:to>
      <xdr:col>29</xdr:col>
      <xdr:colOff>514350</xdr:colOff>
      <xdr:row>171</xdr:row>
      <xdr:rowOff>161193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CxnSpPr>
          <a:cxnSpLocks noChangeShapeType="1"/>
        </xdr:cNvCxnSpPr>
      </xdr:nvCxnSpPr>
      <xdr:spPr bwMode="auto">
        <a:xfrm>
          <a:off x="18802350" y="31649670"/>
          <a:ext cx="0" cy="210723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392430</xdr:colOff>
      <xdr:row>33</xdr:row>
      <xdr:rowOff>19050</xdr:rowOff>
    </xdr:from>
    <xdr:to>
      <xdr:col>15</xdr:col>
      <xdr:colOff>400050</xdr:colOff>
      <xdr:row>36</xdr:row>
      <xdr:rowOff>31750</xdr:rowOff>
    </xdr:to>
    <xdr:sp macro="" textlink="">
      <xdr:nvSpPr>
        <xdr:cNvPr id="14" name="Rectangle 32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7098030" y="6343650"/>
          <a:ext cx="3055620" cy="56134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mn-MN" sz="1400" b="1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Hand knap +50mm and recombine</a:t>
          </a:r>
          <a:endParaRPr lang="en-US" sz="1400">
            <a:effectLst/>
          </a:endParaRPr>
        </a:p>
      </xdr:txBody>
    </xdr:sp>
    <xdr:clientData/>
  </xdr:twoCellAnchor>
  <xdr:twoCellAnchor>
    <xdr:from>
      <xdr:col>22</xdr:col>
      <xdr:colOff>158750</xdr:colOff>
      <xdr:row>46</xdr:row>
      <xdr:rowOff>127000</xdr:rowOff>
    </xdr:from>
    <xdr:to>
      <xdr:col>26</xdr:col>
      <xdr:colOff>514350</xdr:colOff>
      <xdr:row>54</xdr:row>
      <xdr:rowOff>133350</xdr:rowOff>
    </xdr:to>
    <xdr:sp macro="" textlink="">
      <xdr:nvSpPr>
        <xdr:cNvPr id="15" name="Rectangle 63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14179550" y="9156700"/>
          <a:ext cx="2794000" cy="1568450"/>
        </a:xfrm>
        <a:prstGeom prst="rect">
          <a:avLst/>
        </a:prstGeom>
        <a:solidFill>
          <a:srgbClr val="FF99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indent="0"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Wet tumbler:</a:t>
          </a:r>
        </a:p>
        <a:p>
          <a:pPr marL="0" indent="0"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20RPM</a:t>
          </a:r>
          <a:endParaRPr lang="mn-MN" sz="1400" b="1" i="0" u="sng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Sample weight- </a:t>
          </a:r>
          <a:r>
            <a:rPr lang="mn-MN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50 </a:t>
          </a: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kg</a:t>
          </a:r>
          <a:r>
            <a:rPr lang="mn-MN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+ 150</a:t>
          </a: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liter water</a:t>
          </a:r>
        </a:p>
        <a:p>
          <a:pPr marL="0" indent="0"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Cub:</a:t>
          </a:r>
        </a:p>
        <a:p>
          <a:pPr marL="0" indent="0"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Size</a:t>
          </a:r>
          <a:r>
            <a:rPr lang="mn-MN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- 50</a:t>
          </a: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endParaRPr lang="en-US" sz="1400" b="1" i="0" u="sng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18 piece</a:t>
          </a:r>
          <a:endParaRPr lang="mn-MN" sz="1400" b="1" i="0" u="sng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0" indent="0" algn="l" rtl="0">
            <a:defRPr sz="1000"/>
          </a:pPr>
          <a:endParaRPr lang="en-US" sz="1200" b="1" i="0" u="sng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568960</xdr:colOff>
      <xdr:row>71</xdr:row>
      <xdr:rowOff>5080</xdr:rowOff>
    </xdr:from>
    <xdr:to>
      <xdr:col>18</xdr:col>
      <xdr:colOff>254000</xdr:colOff>
      <xdr:row>72</xdr:row>
      <xdr:rowOff>142875</xdr:rowOff>
    </xdr:to>
    <xdr:sp macro="" textlink="">
      <xdr:nvSpPr>
        <xdr:cNvPr id="16" name="Rectangle 66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9712960" y="13086080"/>
          <a:ext cx="2123440" cy="315595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Float &amp; Sink</a:t>
          </a:r>
        </a:p>
      </xdr:txBody>
    </xdr:sp>
    <xdr:clientData/>
  </xdr:twoCellAnchor>
  <xdr:twoCellAnchor>
    <xdr:from>
      <xdr:col>26</xdr:col>
      <xdr:colOff>527685</xdr:colOff>
      <xdr:row>62</xdr:row>
      <xdr:rowOff>144780</xdr:rowOff>
    </xdr:from>
    <xdr:to>
      <xdr:col>30</xdr:col>
      <xdr:colOff>479425</xdr:colOff>
      <xdr:row>66</xdr:row>
      <xdr:rowOff>12700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16986885" y="12260580"/>
          <a:ext cx="2390140" cy="70612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Filtration and dewatering</a:t>
          </a:r>
          <a:endParaRPr lang="mn-MN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Wet sizing</a:t>
          </a:r>
          <a:endParaRPr lang="mn-MN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13</xdr:col>
      <xdr:colOff>81915</xdr:colOff>
      <xdr:row>7</xdr:row>
      <xdr:rowOff>114300</xdr:rowOff>
    </xdr:from>
    <xdr:to>
      <xdr:col>13</xdr:col>
      <xdr:colOff>90170</xdr:colOff>
      <xdr:row>10</xdr:row>
      <xdr:rowOff>19050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CxnSpPr>
          <a:stCxn id="2" idx="4"/>
          <a:endCxn id="3" idx="0"/>
        </xdr:cNvCxnSpPr>
      </xdr:nvCxnSpPr>
      <xdr:spPr>
        <a:xfrm flipH="1">
          <a:off x="8616315" y="1663700"/>
          <a:ext cx="8255" cy="4381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81915</xdr:colOff>
      <xdr:row>13</xdr:row>
      <xdr:rowOff>52070</xdr:rowOff>
    </xdr:from>
    <xdr:to>
      <xdr:col>13</xdr:col>
      <xdr:colOff>81915</xdr:colOff>
      <xdr:row>15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CxnSpPr>
          <a:stCxn id="3" idx="2"/>
          <a:endCxn id="4" idx="0"/>
        </xdr:cNvCxnSpPr>
      </xdr:nvCxnSpPr>
      <xdr:spPr>
        <a:xfrm>
          <a:off x="8616315" y="2719070"/>
          <a:ext cx="0" cy="31369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81915</xdr:colOff>
      <xdr:row>18</xdr:row>
      <xdr:rowOff>69850</xdr:rowOff>
    </xdr:from>
    <xdr:to>
      <xdr:col>13</xdr:col>
      <xdr:colOff>81915</xdr:colOff>
      <xdr:row>21</xdr:row>
      <xdr:rowOff>63500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CxnSpPr>
          <a:cxnSpLocks/>
          <a:stCxn id="4" idx="2"/>
          <a:endCxn id="5" idx="0"/>
        </xdr:cNvCxnSpPr>
      </xdr:nvCxnSpPr>
      <xdr:spPr>
        <a:xfrm>
          <a:off x="8616315" y="3651250"/>
          <a:ext cx="0" cy="5422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81915</xdr:colOff>
      <xdr:row>24</xdr:row>
      <xdr:rowOff>158750</xdr:rowOff>
    </xdr:from>
    <xdr:to>
      <xdr:col>13</xdr:col>
      <xdr:colOff>83185</xdr:colOff>
      <xdr:row>26</xdr:row>
      <xdr:rowOff>165100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CxnSpPr>
          <a:stCxn id="5" idx="2"/>
          <a:endCxn id="60" idx="0"/>
        </xdr:cNvCxnSpPr>
      </xdr:nvCxnSpPr>
      <xdr:spPr>
        <a:xfrm>
          <a:off x="8616315" y="4837430"/>
          <a:ext cx="1270" cy="3721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91440</xdr:colOff>
      <xdr:row>36</xdr:row>
      <xdr:rowOff>31750</xdr:rowOff>
    </xdr:from>
    <xdr:to>
      <xdr:col>13</xdr:col>
      <xdr:colOff>99695</xdr:colOff>
      <xdr:row>39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CxnSpPr>
          <a:stCxn id="14" idx="2"/>
          <a:endCxn id="6" idx="0"/>
        </xdr:cNvCxnSpPr>
      </xdr:nvCxnSpPr>
      <xdr:spPr>
        <a:xfrm>
          <a:off x="8625840" y="6904990"/>
          <a:ext cx="8255" cy="5359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99695</xdr:colOff>
      <xdr:row>41</xdr:row>
      <xdr:rowOff>146050</xdr:rowOff>
    </xdr:from>
    <xdr:to>
      <xdr:col>13</xdr:col>
      <xdr:colOff>104775</xdr:colOff>
      <xdr:row>43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CxnSpPr>
          <a:stCxn id="6" idx="2"/>
          <a:endCxn id="7" idx="0"/>
        </xdr:cNvCxnSpPr>
      </xdr:nvCxnSpPr>
      <xdr:spPr>
        <a:xfrm>
          <a:off x="8634095" y="7933690"/>
          <a:ext cx="5080" cy="314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98425</xdr:colOff>
      <xdr:row>45</xdr:row>
      <xdr:rowOff>177800</xdr:rowOff>
    </xdr:from>
    <xdr:to>
      <xdr:col>13</xdr:col>
      <xdr:colOff>104775</xdr:colOff>
      <xdr:row>47</xdr:row>
      <xdr:rowOff>38100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CxnSpPr>
          <a:stCxn id="7" idx="2"/>
          <a:endCxn id="8" idx="0"/>
        </xdr:cNvCxnSpPr>
      </xdr:nvCxnSpPr>
      <xdr:spPr>
        <a:xfrm flipH="1">
          <a:off x="8632825" y="9017000"/>
          <a:ext cx="635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387350</xdr:colOff>
      <xdr:row>52</xdr:row>
      <xdr:rowOff>190500</xdr:rowOff>
    </xdr:from>
    <xdr:to>
      <xdr:col>15</xdr:col>
      <xdr:colOff>419100</xdr:colOff>
      <xdr:row>56</xdr:row>
      <xdr:rowOff>95250</xdr:rowOff>
    </xdr:to>
    <xdr:sp macro="" textlink="">
      <xdr:nvSpPr>
        <xdr:cNvPr id="25" name="Rectangle 35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7092950" y="10363200"/>
          <a:ext cx="3079750" cy="70485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/>
          <a:r>
            <a:rPr lang="en-US" sz="1400" b="1" i="0" baseline="0">
              <a:effectLst/>
              <a:latin typeface="+mn-lt"/>
              <a:ea typeface="+mn-ea"/>
              <a:cs typeface="+mn-cs"/>
            </a:rPr>
            <a:t>Divide each size fraction by sample divider (RSD) </a:t>
          </a:r>
          <a:endParaRPr lang="en-US" sz="1400">
            <a:effectLst/>
          </a:endParaRPr>
        </a:p>
        <a:p>
          <a:pPr algn="ctr" rtl="0"/>
          <a:r>
            <a:rPr lang="mn-MN" sz="1400" b="1" i="0" baseline="0">
              <a:effectLst/>
              <a:latin typeface="+mn-lt"/>
              <a:ea typeface="+mn-ea"/>
              <a:cs typeface="+mn-cs"/>
            </a:rPr>
            <a:t>1/8 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&amp; 7/8</a:t>
          </a:r>
          <a:endParaRPr lang="en-US" sz="1400">
            <a:effectLst/>
          </a:endParaRPr>
        </a:p>
      </xdr:txBody>
    </xdr:sp>
    <xdr:clientData/>
  </xdr:twoCellAnchor>
  <xdr:twoCellAnchor>
    <xdr:from>
      <xdr:col>13</xdr:col>
      <xdr:colOff>98425</xdr:colOff>
      <xdr:row>51</xdr:row>
      <xdr:rowOff>38100</xdr:rowOff>
    </xdr:from>
    <xdr:to>
      <xdr:col>13</xdr:col>
      <xdr:colOff>98425</xdr:colOff>
      <xdr:row>52</xdr:row>
      <xdr:rowOff>190500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CxnSpPr>
          <a:stCxn id="8" idx="2"/>
          <a:endCxn id="25" idx="0"/>
        </xdr:cNvCxnSpPr>
      </xdr:nvCxnSpPr>
      <xdr:spPr>
        <a:xfrm>
          <a:off x="8632825" y="1002030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419100</xdr:colOff>
      <xdr:row>54</xdr:row>
      <xdr:rowOff>123825</xdr:rowOff>
    </xdr:from>
    <xdr:to>
      <xdr:col>18</xdr:col>
      <xdr:colOff>374650</xdr:colOff>
      <xdr:row>57</xdr:row>
      <xdr:rowOff>12700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CxnSpPr>
          <a:stCxn id="25" idx="3"/>
          <a:endCxn id="9" idx="0"/>
        </xdr:cNvCxnSpPr>
      </xdr:nvCxnSpPr>
      <xdr:spPr>
        <a:xfrm>
          <a:off x="10172700" y="10715625"/>
          <a:ext cx="1784350" cy="4603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657226</xdr:colOff>
      <xdr:row>54</xdr:row>
      <xdr:rowOff>123824</xdr:rowOff>
    </xdr:from>
    <xdr:to>
      <xdr:col>10</xdr:col>
      <xdr:colOff>387351</xdr:colOff>
      <xdr:row>56</xdr:row>
      <xdr:rowOff>114299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CxnSpPr>
          <a:cxnSpLocks/>
          <a:stCxn id="25" idx="1"/>
          <a:endCxn id="12" idx="0"/>
        </xdr:cNvCxnSpPr>
      </xdr:nvCxnSpPr>
      <xdr:spPr>
        <a:xfrm rot="10800000" flipV="1">
          <a:off x="1266826" y="10715624"/>
          <a:ext cx="5826125" cy="3714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37</xdr:row>
      <xdr:rowOff>82550</xdr:rowOff>
    </xdr:from>
    <xdr:to>
      <xdr:col>26</xdr:col>
      <xdr:colOff>133350</xdr:colOff>
      <xdr:row>43</xdr:row>
      <xdr:rowOff>76200</xdr:rowOff>
    </xdr:to>
    <xdr:sp macro="" textlink="">
      <xdr:nvSpPr>
        <xdr:cNvPr id="29" name="Rectangle 63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14154150" y="7397750"/>
          <a:ext cx="2438400" cy="1136650"/>
        </a:xfrm>
        <a:prstGeom prst="rect">
          <a:avLst/>
        </a:prstGeom>
        <a:solidFill>
          <a:srgbClr val="FF99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Dry tumbler: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20RPM</a:t>
          </a:r>
          <a:endParaRPr lang="mn-MN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Sample weight~ 100kg</a:t>
          </a:r>
        </a:p>
        <a:p>
          <a:pPr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Cub:</a:t>
          </a:r>
        </a:p>
        <a:p>
          <a:pPr algn="l" rtl="0"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No</a:t>
          </a:r>
          <a:endParaRPr lang="mn-MN" sz="14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13</xdr:col>
      <xdr:colOff>469900</xdr:colOff>
      <xdr:row>60</xdr:row>
      <xdr:rowOff>57150</xdr:rowOff>
    </xdr:from>
    <xdr:to>
      <xdr:col>16</xdr:col>
      <xdr:colOff>558800</xdr:colOff>
      <xdr:row>63</xdr:row>
      <xdr:rowOff>97790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CxnSpPr>
          <a:stCxn id="9" idx="1"/>
          <a:endCxn id="11" idx="0"/>
        </xdr:cNvCxnSpPr>
      </xdr:nvCxnSpPr>
      <xdr:spPr>
        <a:xfrm rot="10800000" flipV="1">
          <a:off x="9004300" y="11365230"/>
          <a:ext cx="1917700" cy="58928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60</xdr:row>
      <xdr:rowOff>57150</xdr:rowOff>
    </xdr:from>
    <xdr:to>
      <xdr:col>28</xdr:col>
      <xdr:colOff>503555</xdr:colOff>
      <xdr:row>62</xdr:row>
      <xdr:rowOff>144780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CxnSpPr>
          <a:stCxn id="9" idx="3"/>
          <a:endCxn id="17" idx="0"/>
        </xdr:cNvCxnSpPr>
      </xdr:nvCxnSpPr>
      <xdr:spPr>
        <a:xfrm>
          <a:off x="12992100" y="11791950"/>
          <a:ext cx="5189855" cy="46863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425450</xdr:colOff>
      <xdr:row>40</xdr:row>
      <xdr:rowOff>79375</xdr:rowOff>
    </xdr:from>
    <xdr:to>
      <xdr:col>22</xdr:col>
      <xdr:colOff>133350</xdr:colOff>
      <xdr:row>44</xdr:row>
      <xdr:rowOff>136525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CxnSpPr>
          <a:stCxn id="7" idx="3"/>
          <a:endCxn id="29" idx="1"/>
        </xdr:cNvCxnSpPr>
      </xdr:nvCxnSpPr>
      <xdr:spPr>
        <a:xfrm flipV="1">
          <a:off x="10179050" y="7966075"/>
          <a:ext cx="3975100" cy="819150"/>
        </a:xfrm>
        <a:prstGeom prst="bentConnector3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50</xdr:row>
      <xdr:rowOff>149225</xdr:rowOff>
    </xdr:from>
    <xdr:to>
      <xdr:col>22</xdr:col>
      <xdr:colOff>158750</xdr:colOff>
      <xdr:row>60</xdr:row>
      <xdr:rowOff>38100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CxnSpPr>
          <a:stCxn id="9" idx="3"/>
          <a:endCxn id="15" idx="1"/>
        </xdr:cNvCxnSpPr>
      </xdr:nvCxnSpPr>
      <xdr:spPr>
        <a:xfrm flipV="1">
          <a:off x="12992100" y="9940925"/>
          <a:ext cx="1187450" cy="1870075"/>
        </a:xfrm>
        <a:prstGeom prst="bentConnector3">
          <a:avLst>
            <a:gd name="adj1" fmla="val 50000"/>
          </a:avLst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219076</xdr:colOff>
      <xdr:row>64</xdr:row>
      <xdr:rowOff>213994</xdr:rowOff>
    </xdr:from>
    <xdr:to>
      <xdr:col>11</xdr:col>
      <xdr:colOff>546101</xdr:colOff>
      <xdr:row>68</xdr:row>
      <xdr:rowOff>134619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CxnSpPr>
          <a:cxnSpLocks/>
          <a:stCxn id="11" idx="1"/>
          <a:endCxn id="35" idx="0"/>
        </xdr:cNvCxnSpPr>
      </xdr:nvCxnSpPr>
      <xdr:spPr>
        <a:xfrm rot="10800000" flipV="1">
          <a:off x="3876676" y="12786994"/>
          <a:ext cx="3984625" cy="7207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68</xdr:row>
      <xdr:rowOff>134620</xdr:rowOff>
    </xdr:from>
    <xdr:to>
      <xdr:col>7</xdr:col>
      <xdr:colOff>57150</xdr:colOff>
      <xdr:row>85</xdr:row>
      <xdr:rowOff>133350</xdr:rowOff>
    </xdr:to>
    <xdr:sp macro="" textlink="">
      <xdr:nvSpPr>
        <xdr:cNvPr id="35" name="Rectangle 8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2819400" y="13507720"/>
          <a:ext cx="2114550" cy="323723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400" b="1" i="0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Calibri"/>
            </a:rPr>
            <a:t>Analysis of each size fraction: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+31.5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400" b="1" i="0" baseline="0">
              <a:effectLst/>
              <a:latin typeface="+mn-lt"/>
              <a:ea typeface="+mn-ea"/>
              <a:cs typeface="+mn-cs"/>
            </a:rPr>
            <a:t>-31.5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+16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, </a:t>
          </a: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400" b="1" i="0" baseline="0">
              <a:effectLst/>
              <a:latin typeface="+mn-lt"/>
              <a:ea typeface="+mn-ea"/>
              <a:cs typeface="+mn-cs"/>
            </a:rPr>
            <a:t>-16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+8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endParaRPr lang="en-US" sz="14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400" b="1" i="0" baseline="0">
              <a:effectLst/>
              <a:latin typeface="+mn-lt"/>
              <a:ea typeface="+mn-ea"/>
              <a:cs typeface="+mn-cs"/>
            </a:rPr>
            <a:t>-8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+4.75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endParaRPr lang="en-US" sz="14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400" b="1" i="0" baseline="0">
              <a:effectLst/>
              <a:latin typeface="+mn-lt"/>
              <a:ea typeface="+mn-ea"/>
              <a:cs typeface="+mn-cs"/>
            </a:rPr>
            <a:t>-4.75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+2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endParaRPr lang="en-US" sz="1400">
            <a:effectLst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400" b="1" i="0" baseline="0">
              <a:effectLst/>
              <a:latin typeface="+mn-lt"/>
              <a:ea typeface="+mn-ea"/>
              <a:cs typeface="+mn-cs"/>
            </a:rPr>
            <a:t>-2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+1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endParaRPr lang="mn-MN" sz="1400" b="1" i="0" baseline="0">
            <a:effectLst/>
            <a:latin typeface="+mn-lt"/>
            <a:ea typeface="+mn-ea"/>
            <a:cs typeface="+mn-cs"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mn-MN" sz="1400">
              <a:effectLst/>
            </a:rPr>
            <a:t>-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1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+0.5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mm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393700</xdr:colOff>
      <xdr:row>65</xdr:row>
      <xdr:rowOff>4445</xdr:rowOff>
    </xdr:from>
    <xdr:to>
      <xdr:col>16</xdr:col>
      <xdr:colOff>411480</xdr:colOff>
      <xdr:row>71</xdr:row>
      <xdr:rowOff>5080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CxnSpPr>
          <a:stCxn id="11" idx="3"/>
          <a:endCxn id="16" idx="0"/>
        </xdr:cNvCxnSpPr>
      </xdr:nvCxnSpPr>
      <xdr:spPr>
        <a:xfrm>
          <a:off x="10147300" y="12318365"/>
          <a:ext cx="627380" cy="10979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518160</xdr:colOff>
      <xdr:row>79</xdr:row>
      <xdr:rowOff>113030</xdr:rowOff>
    </xdr:from>
    <xdr:to>
      <xdr:col>15</xdr:col>
      <xdr:colOff>177800</xdr:colOff>
      <xdr:row>86</xdr:row>
      <xdr:rowOff>76200</xdr:rowOff>
    </xdr:to>
    <xdr:sp macro="" textlink="">
      <xdr:nvSpPr>
        <xdr:cNvPr id="37" name="Rectangle 66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7909560" y="15619730"/>
          <a:ext cx="2098040" cy="12966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16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-8 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15</xdr:col>
      <xdr:colOff>276860</xdr:colOff>
      <xdr:row>79</xdr:row>
      <xdr:rowOff>87630</xdr:rowOff>
    </xdr:from>
    <xdr:to>
      <xdr:col>18</xdr:col>
      <xdr:colOff>546100</xdr:colOff>
      <xdr:row>86</xdr:row>
      <xdr:rowOff>50800</xdr:rowOff>
    </xdr:to>
    <xdr:sp macro="" textlink="">
      <xdr:nvSpPr>
        <xdr:cNvPr id="38" name="Rectangle 66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10106660" y="15594330"/>
          <a:ext cx="2098040" cy="12966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8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-2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443231</xdr:colOff>
      <xdr:row>72</xdr:row>
      <xdr:rowOff>142874</xdr:rowOff>
    </xdr:from>
    <xdr:to>
      <xdr:col>16</xdr:col>
      <xdr:colOff>411481</xdr:colOff>
      <xdr:row>79</xdr:row>
      <xdr:rowOff>87629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CxnSpPr>
          <a:stCxn id="16" idx="2"/>
          <a:endCxn id="10" idx="0"/>
        </xdr:cNvCxnSpPr>
      </xdr:nvCxnSpPr>
      <xdr:spPr>
        <a:xfrm rot="5400000">
          <a:off x="8094028" y="12837477"/>
          <a:ext cx="1278255" cy="42354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347981</xdr:colOff>
      <xdr:row>72</xdr:row>
      <xdr:rowOff>142874</xdr:rowOff>
    </xdr:from>
    <xdr:to>
      <xdr:col>16</xdr:col>
      <xdr:colOff>411481</xdr:colOff>
      <xdr:row>79</xdr:row>
      <xdr:rowOff>113029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CxnSpPr>
          <a:stCxn id="16" idx="2"/>
          <a:endCxn id="37" idx="0"/>
        </xdr:cNvCxnSpPr>
      </xdr:nvCxnSpPr>
      <xdr:spPr>
        <a:xfrm rot="5400000">
          <a:off x="9252903" y="14021752"/>
          <a:ext cx="1303655" cy="18923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411481</xdr:colOff>
      <xdr:row>72</xdr:row>
      <xdr:rowOff>142874</xdr:rowOff>
    </xdr:from>
    <xdr:to>
      <xdr:col>17</xdr:col>
      <xdr:colOff>106681</xdr:colOff>
      <xdr:row>79</xdr:row>
      <xdr:rowOff>87629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CxnSpPr>
          <a:stCxn id="16" idx="2"/>
          <a:endCxn id="38" idx="0"/>
        </xdr:cNvCxnSpPr>
      </xdr:nvCxnSpPr>
      <xdr:spPr>
        <a:xfrm rot="16200000" flipH="1">
          <a:off x="10364153" y="14802802"/>
          <a:ext cx="1278255" cy="3048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225425</xdr:colOff>
      <xdr:row>67</xdr:row>
      <xdr:rowOff>55244</xdr:rowOff>
    </xdr:from>
    <xdr:to>
      <xdr:col>27</xdr:col>
      <xdr:colOff>38100</xdr:colOff>
      <xdr:row>83</xdr:row>
      <xdr:rowOff>0</xdr:rowOff>
    </xdr:to>
    <xdr:sp macro="" textlink="">
      <xdr:nvSpPr>
        <xdr:cNvPr id="42" name="Rectangle 8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14932025" y="13275944"/>
          <a:ext cx="2251075" cy="2992756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Analysis of each size fraction consist of: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en-US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-0.5mm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+0.25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-0.25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+0.15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-0.15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+0.074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-0.074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+0.038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-0.038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mm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25</xdr:col>
      <xdr:colOff>131763</xdr:colOff>
      <xdr:row>64</xdr:row>
      <xdr:rowOff>78740</xdr:rowOff>
    </xdr:from>
    <xdr:to>
      <xdr:col>26</xdr:col>
      <xdr:colOff>527685</xdr:colOff>
      <xdr:row>67</xdr:row>
      <xdr:rowOff>55244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CxnSpPr>
          <a:stCxn id="17" idx="1"/>
          <a:endCxn id="42" idx="0"/>
        </xdr:cNvCxnSpPr>
      </xdr:nvCxnSpPr>
      <xdr:spPr>
        <a:xfrm rot="10800000" flipV="1">
          <a:off x="16057563" y="12689840"/>
          <a:ext cx="1005522" cy="58610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251460</xdr:colOff>
      <xdr:row>80</xdr:row>
      <xdr:rowOff>11430</xdr:rowOff>
    </xdr:from>
    <xdr:to>
      <xdr:col>30</xdr:col>
      <xdr:colOff>520700</xdr:colOff>
      <xdr:row>86</xdr:row>
      <xdr:rowOff>152400</xdr:rowOff>
    </xdr:to>
    <xdr:sp macro="" textlink="">
      <xdr:nvSpPr>
        <xdr:cNvPr id="44" name="Rectangle 66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17320260" y="15068550"/>
          <a:ext cx="2098040" cy="12382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0.5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мм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-0.25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33</xdr:col>
      <xdr:colOff>251460</xdr:colOff>
      <xdr:row>79</xdr:row>
      <xdr:rowOff>157480</xdr:rowOff>
    </xdr:from>
    <xdr:to>
      <xdr:col>36</xdr:col>
      <xdr:colOff>520700</xdr:colOff>
      <xdr:row>86</xdr:row>
      <xdr:rowOff>120650</xdr:rowOff>
    </xdr:to>
    <xdr:sp macro="" textlink="">
      <xdr:nvSpPr>
        <xdr:cNvPr id="45" name="Rectangle 66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20977860" y="15587980"/>
          <a:ext cx="2098040" cy="129667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0.25</a:t>
          </a:r>
          <a:r>
            <a:rPr lang="mn-MN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-0 mm  Flotation test</a:t>
          </a:r>
          <a:endParaRPr lang="mn-MN" sz="1400" b="1" i="0" u="sng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7</xdr:col>
      <xdr:colOff>603250</xdr:colOff>
      <xdr:row>89</xdr:row>
      <xdr:rowOff>45720</xdr:rowOff>
    </xdr:from>
    <xdr:to>
      <xdr:col>11</xdr:col>
      <xdr:colOff>285750</xdr:colOff>
      <xdr:row>97</xdr:row>
      <xdr:rowOff>114300</xdr:rowOff>
    </xdr:to>
    <xdr:sp macro="" textlink="">
      <xdr:nvSpPr>
        <xdr:cNvPr id="46" name="Rectangle 8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5556250" y="17457420"/>
          <a:ext cx="2120900" cy="15925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400" b="1" i="0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Calibri"/>
            </a:rPr>
            <a:t>Analysis of each density fraction consist of: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539750</xdr:colOff>
      <xdr:row>89</xdr:row>
      <xdr:rowOff>77470</xdr:rowOff>
    </xdr:from>
    <xdr:to>
      <xdr:col>15</xdr:col>
      <xdr:colOff>146050</xdr:colOff>
      <xdr:row>97</xdr:row>
      <xdr:rowOff>107950</xdr:rowOff>
    </xdr:to>
    <xdr:sp macro="" textlink="">
      <xdr:nvSpPr>
        <xdr:cNvPr id="47" name="Rectangle 8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7931150" y="17489170"/>
          <a:ext cx="2044700" cy="15544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400" b="1" i="0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Calibri"/>
            </a:rPr>
            <a:t>Analysis of each density fraction consist of: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27</xdr:col>
      <xdr:colOff>260350</xdr:colOff>
      <xdr:row>89</xdr:row>
      <xdr:rowOff>134620</xdr:rowOff>
    </xdr:from>
    <xdr:to>
      <xdr:col>30</xdr:col>
      <xdr:colOff>514350</xdr:colOff>
      <xdr:row>97</xdr:row>
      <xdr:rowOff>133350</xdr:rowOff>
    </xdr:to>
    <xdr:sp macro="" textlink="">
      <xdr:nvSpPr>
        <xdr:cNvPr id="48" name="Rectangle 8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17329150" y="17508220"/>
          <a:ext cx="2082800" cy="152273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Analysis of each density fraction consist of: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33</xdr:col>
      <xdr:colOff>273050</xdr:colOff>
      <xdr:row>89</xdr:row>
      <xdr:rowOff>109220</xdr:rowOff>
    </xdr:from>
    <xdr:to>
      <xdr:col>36</xdr:col>
      <xdr:colOff>488950</xdr:colOff>
      <xdr:row>97</xdr:row>
      <xdr:rowOff>76200</xdr:rowOff>
    </xdr:to>
    <xdr:sp macro="" textlink="">
      <xdr:nvSpPr>
        <xdr:cNvPr id="49" name="Rectangle 8"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20999450" y="17444720"/>
          <a:ext cx="2044700" cy="14909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Analysis of each fraction consist of: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317500</xdr:colOff>
      <xdr:row>89</xdr:row>
      <xdr:rowOff>58420</xdr:rowOff>
    </xdr:from>
    <xdr:to>
      <xdr:col>18</xdr:col>
      <xdr:colOff>514350</xdr:colOff>
      <xdr:row>97</xdr:row>
      <xdr:rowOff>114300</xdr:rowOff>
    </xdr:to>
    <xdr:sp macro="" textlink="">
      <xdr:nvSpPr>
        <xdr:cNvPr id="50" name="Rectangle 8"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10147300" y="17470120"/>
          <a:ext cx="2025650" cy="15798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400" b="1" i="0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Calibri"/>
            </a:rPr>
            <a:t>Analysis of each density fraction consist of: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443230</xdr:colOff>
      <xdr:row>86</xdr:row>
      <xdr:rowOff>50800</xdr:rowOff>
    </xdr:from>
    <xdr:to>
      <xdr:col>9</xdr:col>
      <xdr:colOff>444500</xdr:colOff>
      <xdr:row>89</xdr:row>
      <xdr:rowOff>45720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CxnSpPr>
          <a:stCxn id="10" idx="2"/>
          <a:endCxn id="46" idx="0"/>
        </xdr:cNvCxnSpPr>
      </xdr:nvCxnSpPr>
      <xdr:spPr>
        <a:xfrm rot="16200000" flipH="1">
          <a:off x="6332855" y="17173575"/>
          <a:ext cx="566420" cy="127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342900</xdr:colOff>
      <xdr:row>86</xdr:row>
      <xdr:rowOff>76200</xdr:rowOff>
    </xdr:from>
    <xdr:to>
      <xdr:col>13</xdr:col>
      <xdr:colOff>347980</xdr:colOff>
      <xdr:row>89</xdr:row>
      <xdr:rowOff>77470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CxnSpPr>
          <a:stCxn id="37" idx="2"/>
          <a:endCxn id="47" idx="0"/>
        </xdr:cNvCxnSpPr>
      </xdr:nvCxnSpPr>
      <xdr:spPr>
        <a:xfrm rot="5400000">
          <a:off x="8669655" y="17200245"/>
          <a:ext cx="572770" cy="508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106679</xdr:colOff>
      <xdr:row>86</xdr:row>
      <xdr:rowOff>50800</xdr:rowOff>
    </xdr:from>
    <xdr:to>
      <xdr:col>17</xdr:col>
      <xdr:colOff>111124</xdr:colOff>
      <xdr:row>89</xdr:row>
      <xdr:rowOff>58420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CxnSpPr>
          <a:stCxn id="38" idx="2"/>
          <a:endCxn id="50" idx="0"/>
        </xdr:cNvCxnSpPr>
      </xdr:nvCxnSpPr>
      <xdr:spPr>
        <a:xfrm rot="16200000" flipH="1">
          <a:off x="10868342" y="17178337"/>
          <a:ext cx="579120" cy="444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81280</xdr:colOff>
      <xdr:row>86</xdr:row>
      <xdr:rowOff>152400</xdr:rowOff>
    </xdr:from>
    <xdr:to>
      <xdr:col>29</xdr:col>
      <xdr:colOff>82550</xdr:colOff>
      <xdr:row>89</xdr:row>
      <xdr:rowOff>134620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CxnSpPr>
          <a:stCxn id="44" idx="2"/>
          <a:endCxn id="48" idx="0"/>
        </xdr:cNvCxnSpPr>
      </xdr:nvCxnSpPr>
      <xdr:spPr>
        <a:xfrm rot="16200000" flipH="1">
          <a:off x="18093055" y="17230725"/>
          <a:ext cx="553720" cy="127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76200</xdr:colOff>
      <xdr:row>86</xdr:row>
      <xdr:rowOff>120650</xdr:rowOff>
    </xdr:from>
    <xdr:to>
      <xdr:col>35</xdr:col>
      <xdr:colOff>81280</xdr:colOff>
      <xdr:row>89</xdr:row>
      <xdr:rowOff>109220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CxnSpPr>
          <a:stCxn id="45" idx="2"/>
          <a:endCxn id="49" idx="0"/>
        </xdr:cNvCxnSpPr>
      </xdr:nvCxnSpPr>
      <xdr:spPr>
        <a:xfrm rot="5400000">
          <a:off x="21744305" y="17162145"/>
          <a:ext cx="560070" cy="508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543560</xdr:colOff>
      <xdr:row>71</xdr:row>
      <xdr:rowOff>24130</xdr:rowOff>
    </xdr:from>
    <xdr:to>
      <xdr:col>33</xdr:col>
      <xdr:colOff>228600</xdr:colOff>
      <xdr:row>72</xdr:row>
      <xdr:rowOff>161925</xdr:rowOff>
    </xdr:to>
    <xdr:sp macro="" textlink="">
      <xdr:nvSpPr>
        <xdr:cNvPr id="56" name="Rectangle 66"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18831560" y="13105130"/>
          <a:ext cx="2123440" cy="315595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Float &amp; Sink</a:t>
          </a:r>
        </a:p>
      </xdr:txBody>
    </xdr:sp>
    <xdr:clientData/>
  </xdr:twoCellAnchor>
  <xdr:twoCellAnchor>
    <xdr:from>
      <xdr:col>30</xdr:col>
      <xdr:colOff>479425</xdr:colOff>
      <xdr:row>64</xdr:row>
      <xdr:rowOff>78740</xdr:rowOff>
    </xdr:from>
    <xdr:to>
      <xdr:col>31</xdr:col>
      <xdr:colOff>386080</xdr:colOff>
      <xdr:row>71</xdr:row>
      <xdr:rowOff>24130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CxnSpPr>
          <a:stCxn id="17" idx="3"/>
          <a:endCxn id="56" idx="0"/>
        </xdr:cNvCxnSpPr>
      </xdr:nvCxnSpPr>
      <xdr:spPr>
        <a:xfrm>
          <a:off x="19377025" y="12613640"/>
          <a:ext cx="516255" cy="131699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81281</xdr:colOff>
      <xdr:row>72</xdr:row>
      <xdr:rowOff>161924</xdr:rowOff>
    </xdr:from>
    <xdr:to>
      <xdr:col>31</xdr:col>
      <xdr:colOff>386081</xdr:colOff>
      <xdr:row>80</xdr:row>
      <xdr:rowOff>11429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CxnSpPr>
          <a:stCxn id="56" idx="2"/>
          <a:endCxn id="44" idx="0"/>
        </xdr:cNvCxnSpPr>
      </xdr:nvCxnSpPr>
      <xdr:spPr>
        <a:xfrm rot="5400000">
          <a:off x="18495328" y="13294677"/>
          <a:ext cx="1271905" cy="15240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479425</xdr:colOff>
      <xdr:row>64</xdr:row>
      <xdr:rowOff>78740</xdr:rowOff>
    </xdr:from>
    <xdr:to>
      <xdr:col>35</xdr:col>
      <xdr:colOff>81280</xdr:colOff>
      <xdr:row>79</xdr:row>
      <xdr:rowOff>157480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CxnSpPr>
          <a:stCxn id="17" idx="3"/>
          <a:endCxn id="45" idx="0"/>
        </xdr:cNvCxnSpPr>
      </xdr:nvCxnSpPr>
      <xdr:spPr>
        <a:xfrm>
          <a:off x="19377025" y="12613640"/>
          <a:ext cx="2649855" cy="297434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393700</xdr:colOff>
      <xdr:row>26</xdr:row>
      <xdr:rowOff>165100</xdr:rowOff>
    </xdr:from>
    <xdr:to>
      <xdr:col>15</xdr:col>
      <xdr:colOff>382270</xdr:colOff>
      <xdr:row>30</xdr:row>
      <xdr:rowOff>82550</xdr:rowOff>
    </xdr:to>
    <xdr:sp macro="" textlink="">
      <xdr:nvSpPr>
        <xdr:cNvPr id="60" name="Rectangle 32"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7099300" y="5092700"/>
          <a:ext cx="3036570" cy="62865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Weight 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+50 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&amp; -50mm</a:t>
          </a:r>
          <a:r>
            <a:rPr lang="mn-MN" sz="1400" b="1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xdr:twoCellAnchor>
    <xdr:from>
      <xdr:col>13</xdr:col>
      <xdr:colOff>83184</xdr:colOff>
      <xdr:row>30</xdr:row>
      <xdr:rowOff>82550</xdr:rowOff>
    </xdr:from>
    <xdr:to>
      <xdr:col>13</xdr:col>
      <xdr:colOff>91439</xdr:colOff>
      <xdr:row>33</xdr:row>
      <xdr:rowOff>19050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CxnSpPr>
          <a:stCxn id="60" idx="2"/>
          <a:endCxn id="14" idx="0"/>
        </xdr:cNvCxnSpPr>
      </xdr:nvCxnSpPr>
      <xdr:spPr>
        <a:xfrm rot="16200000" flipH="1">
          <a:off x="8379142" y="6096952"/>
          <a:ext cx="485140" cy="825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503464</xdr:colOff>
      <xdr:row>36</xdr:row>
      <xdr:rowOff>160566</xdr:rowOff>
    </xdr:from>
    <xdr:to>
      <xdr:col>10</xdr:col>
      <xdr:colOff>383540</xdr:colOff>
      <xdr:row>40</xdr:row>
      <xdr:rowOff>82550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CxnSpPr>
          <a:stCxn id="6" idx="1"/>
          <a:endCxn id="63" idx="0"/>
        </xdr:cNvCxnSpPr>
      </xdr:nvCxnSpPr>
      <xdr:spPr>
        <a:xfrm rot="10800000">
          <a:off x="2941864" y="7285266"/>
          <a:ext cx="4147276" cy="683984"/>
        </a:xfrm>
        <a:prstGeom prst="bentConnector4">
          <a:avLst>
            <a:gd name="adj1" fmla="val 35662"/>
            <a:gd name="adj2" fmla="val 13342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1142999</xdr:colOff>
      <xdr:row>36</xdr:row>
      <xdr:rowOff>160566</xdr:rowOff>
    </xdr:from>
    <xdr:to>
      <xdr:col>5</xdr:col>
      <xdr:colOff>473528</xdr:colOff>
      <xdr:row>49</xdr:row>
      <xdr:rowOff>46265</xdr:rowOff>
    </xdr:to>
    <xdr:sp macro="" textlink="">
      <xdr:nvSpPr>
        <xdr:cNvPr id="63" name="Rectangle 8"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>
          <a:spLocks noChangeArrowheads="1"/>
        </xdr:cNvSpPr>
      </xdr:nvSpPr>
      <xdr:spPr bwMode="auto">
        <a:xfrm>
          <a:off x="1752599" y="7285266"/>
          <a:ext cx="2378529" cy="2362199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Primary analysis: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indent="-171450" rtl="0">
            <a:buFont typeface="Arial" panose="020B0604020202020204" pitchFamily="34" charset="0"/>
            <a:buChar char="•"/>
          </a:pPr>
          <a:r>
            <a:rPr lang="en-US" sz="1400" b="1" i="0" u="none" strike="noStrike" baseline="0">
              <a:solidFill>
                <a:srgbClr val="000000"/>
              </a:solidFill>
              <a:effectLst/>
              <a:latin typeface="+mn-lt"/>
              <a:ea typeface="+mn-ea"/>
              <a:cs typeface="+mn-cs"/>
            </a:rPr>
            <a:t>TRD</a:t>
          </a:r>
        </a:p>
        <a:p>
          <a:pPr marL="171450" indent="-171450" rtl="0">
            <a:buFont typeface="Arial" panose="020B0604020202020204" pitchFamily="34" charset="0"/>
            <a:buChar char="•"/>
          </a:pP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Petrograph (300gr)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22</xdr:col>
      <xdr:colOff>26034</xdr:colOff>
      <xdr:row>107</xdr:row>
      <xdr:rowOff>25400</xdr:rowOff>
    </xdr:from>
    <xdr:to>
      <xdr:col>26</xdr:col>
      <xdr:colOff>469900</xdr:colOff>
      <xdr:row>111</xdr:row>
      <xdr:rowOff>88900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>
          <a:spLocks noChangeArrowheads="1"/>
        </xdr:cNvSpPr>
      </xdr:nvSpPr>
      <xdr:spPr bwMode="auto">
        <a:xfrm>
          <a:off x="14046834" y="20020280"/>
          <a:ext cx="2882266" cy="795020"/>
        </a:xfrm>
        <a:prstGeom prst="rect">
          <a:avLst/>
        </a:prstGeom>
        <a:solidFill>
          <a:srgbClr val="A8D08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indent="0" algn="ctr" rtl="0">
            <a:buFont typeface="Arial" panose="020B0604020202020204" pitchFamily="34" charset="0"/>
            <a:buNone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marL="0" indent="0" algn="ctr" rtl="0">
            <a:buFont typeface="Arial" panose="020B0604020202020204" pitchFamily="34" charset="0"/>
            <a:buNone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To prepare product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composite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mn-MN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444499</xdr:colOff>
      <xdr:row>97</xdr:row>
      <xdr:rowOff>114300</xdr:rowOff>
    </xdr:from>
    <xdr:to>
      <xdr:col>24</xdr:col>
      <xdr:colOff>247966</xdr:colOff>
      <xdr:row>107</xdr:row>
      <xdr:rowOff>25400</xdr:rowOff>
    </xdr:to>
    <xdr:cxnSp macro="">
      <xdr:nvCxnSpPr>
        <xdr:cNvPr id="65" name="Connector: Elbow 64"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CxnSpPr>
          <a:stCxn id="46" idx="2"/>
          <a:endCxn id="64" idx="0"/>
        </xdr:cNvCxnSpPr>
      </xdr:nvCxnSpPr>
      <xdr:spPr>
        <a:xfrm rot="16200000" flipH="1">
          <a:off x="10182383" y="15484316"/>
          <a:ext cx="1816100" cy="894746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342899</xdr:colOff>
      <xdr:row>97</xdr:row>
      <xdr:rowOff>107950</xdr:rowOff>
    </xdr:from>
    <xdr:to>
      <xdr:col>24</xdr:col>
      <xdr:colOff>247966</xdr:colOff>
      <xdr:row>107</xdr:row>
      <xdr:rowOff>25400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CxnSpPr>
          <a:stCxn id="47" idx="2"/>
          <a:endCxn id="64" idx="0"/>
        </xdr:cNvCxnSpPr>
      </xdr:nvCxnSpPr>
      <xdr:spPr>
        <a:xfrm rot="16200000" flipH="1">
          <a:off x="11347608" y="16649541"/>
          <a:ext cx="1822450" cy="661066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111125</xdr:colOff>
      <xdr:row>97</xdr:row>
      <xdr:rowOff>114300</xdr:rowOff>
    </xdr:from>
    <xdr:to>
      <xdr:col>24</xdr:col>
      <xdr:colOff>247967</xdr:colOff>
      <xdr:row>107</xdr:row>
      <xdr:rowOff>25400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CxnSpPr>
          <a:stCxn id="50" idx="2"/>
          <a:endCxn id="64" idx="0"/>
        </xdr:cNvCxnSpPr>
      </xdr:nvCxnSpPr>
      <xdr:spPr>
        <a:xfrm rot="16200000" flipH="1">
          <a:off x="12454096" y="17756029"/>
          <a:ext cx="1816100" cy="4404042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247967</xdr:colOff>
      <xdr:row>97</xdr:row>
      <xdr:rowOff>133351</xdr:rowOff>
    </xdr:from>
    <xdr:to>
      <xdr:col>29</xdr:col>
      <xdr:colOff>82550</xdr:colOff>
      <xdr:row>107</xdr:row>
      <xdr:rowOff>25401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CxnSpPr>
          <a:stCxn id="48" idx="2"/>
          <a:endCxn id="64" idx="0"/>
        </xdr:cNvCxnSpPr>
      </xdr:nvCxnSpPr>
      <xdr:spPr>
        <a:xfrm rot="5400000">
          <a:off x="16030734" y="18488184"/>
          <a:ext cx="1797050" cy="288258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247967</xdr:colOff>
      <xdr:row>97</xdr:row>
      <xdr:rowOff>76201</xdr:rowOff>
    </xdr:from>
    <xdr:to>
      <xdr:col>35</xdr:col>
      <xdr:colOff>76200</xdr:colOff>
      <xdr:row>107</xdr:row>
      <xdr:rowOff>25401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CxnSpPr>
          <a:stCxn id="49" idx="2"/>
          <a:endCxn id="64" idx="0"/>
        </xdr:cNvCxnSpPr>
      </xdr:nvCxnSpPr>
      <xdr:spPr>
        <a:xfrm rot="5400000">
          <a:off x="17827784" y="16595884"/>
          <a:ext cx="1854200" cy="653383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508000</xdr:colOff>
      <xdr:row>112</xdr:row>
      <xdr:rowOff>171450</xdr:rowOff>
    </xdr:from>
    <xdr:to>
      <xdr:col>26</xdr:col>
      <xdr:colOff>590550</xdr:colOff>
      <xdr:row>125</xdr:row>
      <xdr:rowOff>25400</xdr:rowOff>
    </xdr:to>
    <xdr:sp macro="" textlink="">
      <xdr:nvSpPr>
        <xdr:cNvPr id="70" name="Rectangle 8"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>
          <a:spLocks noChangeArrowheads="1"/>
        </xdr:cNvSpPr>
      </xdr:nvSpPr>
      <xdr:spPr bwMode="auto">
        <a:xfrm>
          <a:off x="13919200" y="21926550"/>
          <a:ext cx="3130550" cy="233045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00"/>
              </a:solidFill>
              <a:latin typeface="Calibri"/>
              <a:cs typeface="Calibri"/>
            </a:rPr>
            <a:t> Composite product analysis consist of: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Moisture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/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IM</a:t>
          </a: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/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Ash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Volatile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mn-MN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CSN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G index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Sulphur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TRD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t>Petrograph</a:t>
          </a:r>
          <a:endParaRPr lang="mn-MN" sz="14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24</xdr:col>
      <xdr:colOff>244475</xdr:colOff>
      <xdr:row>111</xdr:row>
      <xdr:rowOff>88900</xdr:rowOff>
    </xdr:from>
    <xdr:to>
      <xdr:col>24</xdr:col>
      <xdr:colOff>247967</xdr:colOff>
      <xdr:row>112</xdr:row>
      <xdr:rowOff>171450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CxnSpPr>
          <a:stCxn id="64" idx="2"/>
          <a:endCxn id="70" idx="0"/>
        </xdr:cNvCxnSpPr>
      </xdr:nvCxnSpPr>
      <xdr:spPr>
        <a:xfrm flipH="1">
          <a:off x="15484475" y="21653500"/>
          <a:ext cx="3492" cy="273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86360</xdr:colOff>
      <xdr:row>79</xdr:row>
      <xdr:rowOff>87630</xdr:rowOff>
    </xdr:from>
    <xdr:to>
      <xdr:col>22</xdr:col>
      <xdr:colOff>355600</xdr:colOff>
      <xdr:row>86</xdr:row>
      <xdr:rowOff>50800</xdr:rowOff>
    </xdr:to>
    <xdr:sp macro="" textlink="">
      <xdr:nvSpPr>
        <xdr:cNvPr id="86" name="Rectangle 66">
          <a:extLst>
            <a:ext uri="{FF2B5EF4-FFF2-40B4-BE49-F238E27FC236}">
              <a16:creationId xmlns:a16="http://schemas.microsoft.com/office/drawing/2014/main" xmlns="" id="{D821A123-D606-44F8-86F4-CE4634524210}"/>
            </a:ext>
          </a:extLst>
        </xdr:cNvPr>
        <xdr:cNvSpPr>
          <a:spLocks noChangeArrowheads="1"/>
        </xdr:cNvSpPr>
      </xdr:nvSpPr>
      <xdr:spPr bwMode="auto">
        <a:xfrm>
          <a:off x="12354560" y="15594330"/>
          <a:ext cx="2098040" cy="129667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-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2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-0.5</a:t>
          </a:r>
          <a:r>
            <a:rPr lang="mn-MN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200" b="1" i="0" u="sng" strike="noStrike" baseline="0">
              <a:solidFill>
                <a:srgbClr val="000000"/>
              </a:solidFill>
              <a:latin typeface="Calibri"/>
              <a:cs typeface="Calibri"/>
            </a:rPr>
            <a:t>mm  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@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F 1.300, F 1.325, F1.350, F1.325,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F1.350, F1.375, F1.400, F1.425, F1.450, F1.500, F1.600, F1.700, F1.800, F2.00, F2.200, S2.200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19</xdr:col>
      <xdr:colOff>146050</xdr:colOff>
      <xdr:row>89</xdr:row>
      <xdr:rowOff>39370</xdr:rowOff>
    </xdr:from>
    <xdr:to>
      <xdr:col>22</xdr:col>
      <xdr:colOff>342900</xdr:colOff>
      <xdr:row>97</xdr:row>
      <xdr:rowOff>95250</xdr:rowOff>
    </xdr:to>
    <xdr:sp macro="" textlink="">
      <xdr:nvSpPr>
        <xdr:cNvPr id="90" name="Rectangle 8">
          <a:extLst>
            <a:ext uri="{FF2B5EF4-FFF2-40B4-BE49-F238E27FC236}">
              <a16:creationId xmlns:a16="http://schemas.microsoft.com/office/drawing/2014/main" xmlns="" id="{C336A5A2-7269-490A-99FD-5C3A39C9F35D}"/>
            </a:ext>
          </a:extLst>
        </xdr:cNvPr>
        <xdr:cNvSpPr>
          <a:spLocks noChangeArrowheads="1"/>
        </xdr:cNvSpPr>
      </xdr:nvSpPr>
      <xdr:spPr bwMode="auto">
        <a:xfrm>
          <a:off x="12414250" y="17451070"/>
          <a:ext cx="2025650" cy="15798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400" b="1" i="0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Calibri"/>
            </a:rPr>
            <a:t>Analysis of each density fraction consist of: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Moisture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/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IM</a:t>
          </a: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/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Ash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Volatile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mn-M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CSN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/>
            </a:rPr>
            <a:t>Sulphur</a:t>
          </a:r>
          <a:endParaRPr kumimoji="0" lang="mn-M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411481</xdr:colOff>
      <xdr:row>72</xdr:row>
      <xdr:rowOff>142874</xdr:rowOff>
    </xdr:from>
    <xdr:to>
      <xdr:col>20</xdr:col>
      <xdr:colOff>525781</xdr:colOff>
      <xdr:row>79</xdr:row>
      <xdr:rowOff>87629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xmlns="" id="{E7337F5F-C762-46A4-8AE9-9A16EB7A75B6}"/>
            </a:ext>
          </a:extLst>
        </xdr:cNvPr>
        <xdr:cNvCxnSpPr>
          <a:stCxn id="16" idx="2"/>
          <a:endCxn id="86" idx="0"/>
        </xdr:cNvCxnSpPr>
      </xdr:nvCxnSpPr>
      <xdr:spPr>
        <a:xfrm rot="16200000" flipH="1">
          <a:off x="11488103" y="13678852"/>
          <a:ext cx="1278255" cy="25527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525780</xdr:colOff>
      <xdr:row>86</xdr:row>
      <xdr:rowOff>50800</xdr:rowOff>
    </xdr:from>
    <xdr:to>
      <xdr:col>20</xdr:col>
      <xdr:colOff>549275</xdr:colOff>
      <xdr:row>89</xdr:row>
      <xdr:rowOff>39370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xmlns="" id="{B795F0C9-64E8-4F7F-807F-C0AC7618AA09}"/>
            </a:ext>
          </a:extLst>
        </xdr:cNvPr>
        <xdr:cNvCxnSpPr>
          <a:stCxn id="86" idx="2"/>
          <a:endCxn id="90" idx="0"/>
        </xdr:cNvCxnSpPr>
      </xdr:nvCxnSpPr>
      <xdr:spPr>
        <a:xfrm>
          <a:off x="13403580" y="16891000"/>
          <a:ext cx="23495" cy="5600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126998</xdr:colOff>
      <xdr:row>0</xdr:row>
      <xdr:rowOff>0</xdr:rowOff>
    </xdr:from>
    <xdr:to>
      <xdr:col>21</xdr:col>
      <xdr:colOff>82853</xdr:colOff>
      <xdr:row>21</xdr:row>
      <xdr:rowOff>8466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xmlns="" id="{17A10025-F745-4CB4-B169-B2148902A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0.78683</cdr:x>
      <cdr:y>0.03368</cdr:y>
    </cdr:from>
    <cdr:to>
      <cdr:x>0.79289</cdr:x>
      <cdr:y>0.10123</cdr:y>
    </cdr:to>
    <cdr:sp macro="" textlink="">
      <cdr:nvSpPr>
        <cdr:cNvPr id="11265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01418" y="135148"/>
          <a:ext cx="55463" cy="271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27432" tIns="32004" rIns="27432" bIns="32004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0.2959</cdr:x>
      <cdr:y>0.05366</cdr:y>
    </cdr:from>
    <cdr:to>
      <cdr:x>0.49733</cdr:x>
      <cdr:y>0.12082</cdr:y>
    </cdr:to>
    <cdr:sp macro="" textlink="">
      <cdr:nvSpPr>
        <cdr:cNvPr id="11266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5624" y="301161"/>
          <a:ext cx="2189702" cy="377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36576" tIns="41148" rIns="36576" bIns="41148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Rosin-Rammler Plot</a:t>
          </a:r>
        </a:p>
      </cdr:txBody>
    </cdr:sp>
  </cdr:relSizeAnchor>
  <cdr:relSizeAnchor xmlns:cdr="http://schemas.openxmlformats.org/drawingml/2006/chartDrawing">
    <cdr:from>
      <cdr:x>0.62018</cdr:x>
      <cdr:y>0.06056</cdr:y>
    </cdr:from>
    <cdr:to>
      <cdr:x>0.86957</cdr:x>
      <cdr:y>0.12923</cdr:y>
    </cdr:to>
    <cdr:sp macro="" textlink="">
      <cdr:nvSpPr>
        <cdr:cNvPr id="2" name="Text 1">
          <a:extLst xmlns:a="http://schemas.openxmlformats.org/drawingml/2006/main">
            <a:ext uri="{FF2B5EF4-FFF2-40B4-BE49-F238E27FC236}">
              <a16:creationId xmlns:a16="http://schemas.microsoft.com/office/drawing/2014/main" xmlns="" id="{E8C06325-53A6-4653-9240-23AE90DF387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00800" y="333280"/>
          <a:ext cx="2573866" cy="377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32004" rIns="27432" bIns="32004" anchor="ctr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PR8_B35_4AL_01_08</a:t>
          </a:r>
        </a:p>
      </cdr:txBody>
    </cdr:sp>
  </cdr:relSizeAnchor>
  <cdr:relSizeAnchor xmlns:cdr="http://schemas.openxmlformats.org/drawingml/2006/chartDrawing">
    <cdr:from>
      <cdr:x>0.2959</cdr:x>
      <cdr:y>0.05391</cdr:y>
    </cdr:from>
    <cdr:to>
      <cdr:x>0.49733</cdr:x>
      <cdr:y>0.12156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xmlns="" id="{1AC8D10F-3887-4BB9-8CAB-15D4040BBEC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5624" y="301161"/>
          <a:ext cx="2189702" cy="377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36576" tIns="41148" rIns="36576" bIns="41148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Rosin-Rammler Plot</a:t>
          </a:r>
        </a:p>
      </cdr:txBody>
    </cdr:sp>
  </cdr:relSizeAnchor>
  <cdr:relSizeAnchor xmlns:cdr="http://schemas.openxmlformats.org/drawingml/2006/chartDrawing">
    <cdr:from>
      <cdr:x>0.22747</cdr:x>
      <cdr:y>0.04512</cdr:y>
    </cdr:from>
    <cdr:to>
      <cdr:x>0.56575</cdr:x>
      <cdr:y>0.1323</cdr:y>
    </cdr:to>
    <cdr:sp macro="" textlink="">
      <cdr:nvSpPr>
        <cdr:cNvPr id="7" name="Text 2">
          <a:extLst xmlns:a="http://schemas.openxmlformats.org/drawingml/2006/main">
            <a:ext uri="{FF2B5EF4-FFF2-40B4-BE49-F238E27FC236}">
              <a16:creationId xmlns:a16="http://schemas.microsoft.com/office/drawing/2014/main" xmlns="" id="{49ED6B52-E07A-474E-913F-D78389F92CE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31874" y="195665"/>
          <a:ext cx="2189702" cy="377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36576" tIns="41148" rIns="36576" bIns="41148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Rosin-Rammler Plot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127000</xdr:colOff>
      <xdr:row>9</xdr:row>
      <xdr:rowOff>136525</xdr:rowOff>
    </xdr:from>
    <xdr:to>
      <xdr:col>34</xdr:col>
      <xdr:colOff>565150</xdr:colOff>
      <xdr:row>24</xdr:row>
      <xdr:rowOff>53975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9150F45C-3321-40C9-B6C3-077CCCD68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113393</xdr:colOff>
      <xdr:row>0</xdr:row>
      <xdr:rowOff>76201</xdr:rowOff>
    </xdr:from>
    <xdr:to>
      <xdr:col>70</xdr:col>
      <xdr:colOff>494393</xdr:colOff>
      <xdr:row>35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FF1F70D-9ADC-4A7E-A78D-BF46523A0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38100</xdr:colOff>
      <xdr:row>25</xdr:row>
      <xdr:rowOff>95250</xdr:rowOff>
    </xdr:from>
    <xdr:to>
      <xdr:col>34</xdr:col>
      <xdr:colOff>476250</xdr:colOff>
      <xdr:row>40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1C533358-E64D-41D1-9A63-C2A102D8C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88900</xdr:colOff>
      <xdr:row>42</xdr:row>
      <xdr:rowOff>0</xdr:rowOff>
    </xdr:from>
    <xdr:to>
      <xdr:col>34</xdr:col>
      <xdr:colOff>508000</xdr:colOff>
      <xdr:row>56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2E3BA359-0162-4B84-93C3-69396339F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152400</xdr:colOff>
      <xdr:row>58</xdr:row>
      <xdr:rowOff>25400</xdr:rowOff>
    </xdr:from>
    <xdr:to>
      <xdr:col>35</xdr:col>
      <xdr:colOff>0</xdr:colOff>
      <xdr:row>72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9D2D25C2-850E-40C5-A3DD-497142AAF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139700</xdr:colOff>
      <xdr:row>73</xdr:row>
      <xdr:rowOff>152400</xdr:rowOff>
    </xdr:from>
    <xdr:to>
      <xdr:col>34</xdr:col>
      <xdr:colOff>546100</xdr:colOff>
      <xdr:row>87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F1386AA3-98E2-450E-8D59-62B65F2E9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51</xdr:col>
      <xdr:colOff>98878</xdr:colOff>
      <xdr:row>36</xdr:row>
      <xdr:rowOff>10886</xdr:rowOff>
    </xdr:from>
    <xdr:to>
      <xdr:col>70</xdr:col>
      <xdr:colOff>479878</xdr:colOff>
      <xdr:row>73</xdr:row>
      <xdr:rowOff>175986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4781C8AB-1E58-4223-9C67-76C8931EE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51</xdr:col>
      <xdr:colOff>75293</xdr:colOff>
      <xdr:row>114</xdr:row>
      <xdr:rowOff>62593</xdr:rowOff>
    </xdr:from>
    <xdr:to>
      <xdr:col>70</xdr:col>
      <xdr:colOff>459014</xdr:colOff>
      <xdr:row>155</xdr:row>
      <xdr:rowOff>37193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FBF4486C-D38A-4BAE-946E-08705BC4B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78558</xdr:colOff>
      <xdr:row>73</xdr:row>
      <xdr:rowOff>270328</xdr:rowOff>
    </xdr:from>
    <xdr:to>
      <xdr:col>70</xdr:col>
      <xdr:colOff>459558</xdr:colOff>
      <xdr:row>113</xdr:row>
      <xdr:rowOff>130628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1869330C-A86B-4136-B715-947382A28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0.05993</cdr:x>
      <cdr:y>0.07767</cdr:y>
    </cdr:from>
    <cdr:to>
      <cdr:x>0.93065</cdr:x>
      <cdr:y>0.11651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="" id="{4241008F-3A73-4CF2-AE09-65430166A144}"/>
            </a:ext>
          </a:extLst>
        </cdr:cNvPr>
        <cdr:cNvSpPr txBox="1"/>
      </cdr:nvSpPr>
      <cdr:spPr>
        <a:xfrm xmlns:a="http://schemas.openxmlformats.org/drawingml/2006/main">
          <a:off x="666751" y="533402"/>
          <a:ext cx="96869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0.07483</cdr:x>
      <cdr:y>0.03224</cdr:y>
    </cdr:from>
    <cdr:to>
      <cdr:x>0.92675</cdr:x>
      <cdr:y>0.15385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xmlns="" id="{F8438092-5E8E-4EBE-A181-FD5BBC97E720}"/>
            </a:ext>
          </a:extLst>
        </cdr:cNvPr>
        <cdr:cNvSpPr txBox="1"/>
      </cdr:nvSpPr>
      <cdr:spPr>
        <a:xfrm xmlns:a="http://schemas.openxmlformats.org/drawingml/2006/main">
          <a:off x="895240" y="234186"/>
          <a:ext cx="10191860" cy="8834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2060"/>
              </a:solidFill>
            </a:rPr>
            <a:t>            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002060"/>
              </a:solidFill>
            </a:rPr>
            <a:t>   </a:t>
          </a:r>
          <a:r>
            <a:rPr lang="en-US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Relalative Density</a:t>
          </a:r>
          <a:endParaRPr lang="en-US" sz="1400">
            <a:solidFill>
              <a:srgbClr val="002060"/>
            </a:solidFill>
            <a:effectLst/>
          </a:endParaRP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</a:t>
          </a: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   1.3              1.325           1.350          1.375              1.40           1.425          1.450           1.50             1.60              1.70             1.80                2.0               2.20            2.80        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0.05993</cdr:x>
      <cdr:y>0.07767</cdr:y>
    </cdr:from>
    <cdr:to>
      <cdr:x>0.93065</cdr:x>
      <cdr:y>0.11651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="" id="{4241008F-3A73-4CF2-AE09-65430166A144}"/>
            </a:ext>
          </a:extLst>
        </cdr:cNvPr>
        <cdr:cNvSpPr txBox="1"/>
      </cdr:nvSpPr>
      <cdr:spPr>
        <a:xfrm xmlns:a="http://schemas.openxmlformats.org/drawingml/2006/main">
          <a:off x="666751" y="533402"/>
          <a:ext cx="96869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0.07483</cdr:x>
      <cdr:y>0.03224</cdr:y>
    </cdr:from>
    <cdr:to>
      <cdr:x>0.92675</cdr:x>
      <cdr:y>0.15385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xmlns="" id="{F8438092-5E8E-4EBE-A181-FD5BBC97E720}"/>
            </a:ext>
          </a:extLst>
        </cdr:cNvPr>
        <cdr:cNvSpPr txBox="1"/>
      </cdr:nvSpPr>
      <cdr:spPr>
        <a:xfrm xmlns:a="http://schemas.openxmlformats.org/drawingml/2006/main">
          <a:off x="895240" y="234186"/>
          <a:ext cx="10191860" cy="8834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2060"/>
              </a:solidFill>
            </a:rPr>
            <a:t>            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002060"/>
              </a:solidFill>
            </a:rPr>
            <a:t>   </a:t>
          </a:r>
          <a:r>
            <a:rPr lang="en-US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Relalative Density</a:t>
          </a:r>
          <a:endParaRPr lang="en-US" sz="1400">
            <a:solidFill>
              <a:srgbClr val="002060"/>
            </a:solidFill>
            <a:effectLst/>
          </a:endParaRP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</a:t>
          </a: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   1.3              1.325           1.350          1.375              1.40           1.425          1.450           1.50             1.60              1.70             1.80                2.0               2.20            2.80        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0.05993</cdr:x>
      <cdr:y>0.07767</cdr:y>
    </cdr:from>
    <cdr:to>
      <cdr:x>0.93065</cdr:x>
      <cdr:y>0.11651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="" id="{4241008F-3A73-4CF2-AE09-65430166A144}"/>
            </a:ext>
          </a:extLst>
        </cdr:cNvPr>
        <cdr:cNvSpPr txBox="1"/>
      </cdr:nvSpPr>
      <cdr:spPr>
        <a:xfrm xmlns:a="http://schemas.openxmlformats.org/drawingml/2006/main">
          <a:off x="666751" y="533402"/>
          <a:ext cx="96869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0.07483</cdr:x>
      <cdr:y>0.04652</cdr:y>
    </cdr:from>
    <cdr:to>
      <cdr:x>0.92675</cdr:x>
      <cdr:y>0.16813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xmlns="" id="{F8438092-5E8E-4EBE-A181-FD5BBC97E720}"/>
            </a:ext>
          </a:extLst>
        </cdr:cNvPr>
        <cdr:cNvSpPr txBox="1"/>
      </cdr:nvSpPr>
      <cdr:spPr>
        <a:xfrm xmlns:a="http://schemas.openxmlformats.org/drawingml/2006/main">
          <a:off x="895221" y="347599"/>
          <a:ext cx="10191860" cy="90875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2060"/>
              </a:solidFill>
            </a:rPr>
            <a:t>            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002060"/>
              </a:solidFill>
            </a:rPr>
            <a:t>   </a:t>
          </a:r>
          <a:r>
            <a:rPr lang="en-US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Relalative Density</a:t>
          </a:r>
          <a:endParaRPr lang="en-US" sz="1400">
            <a:solidFill>
              <a:srgbClr val="002060"/>
            </a:solidFill>
            <a:effectLst/>
          </a:endParaRP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</a:t>
          </a: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   1.3              1.325           1.350          1.375              1.40           1.425          1.450           1.50             1.60              1.70             1.80                2.0               2.20            2.80       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0.05993</cdr:x>
      <cdr:y>0.07767</cdr:y>
    </cdr:from>
    <cdr:to>
      <cdr:x>0.93065</cdr:x>
      <cdr:y>0.11651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="" id="{4241008F-3A73-4CF2-AE09-65430166A144}"/>
            </a:ext>
          </a:extLst>
        </cdr:cNvPr>
        <cdr:cNvSpPr txBox="1"/>
      </cdr:nvSpPr>
      <cdr:spPr>
        <a:xfrm xmlns:a="http://schemas.openxmlformats.org/drawingml/2006/main">
          <a:off x="666751" y="533402"/>
          <a:ext cx="96869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0.07483</cdr:x>
      <cdr:y>0.03224</cdr:y>
    </cdr:from>
    <cdr:to>
      <cdr:x>0.92675</cdr:x>
      <cdr:y>0.15385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xmlns="" id="{F8438092-5E8E-4EBE-A181-FD5BBC97E720}"/>
            </a:ext>
          </a:extLst>
        </cdr:cNvPr>
        <cdr:cNvSpPr txBox="1"/>
      </cdr:nvSpPr>
      <cdr:spPr>
        <a:xfrm xmlns:a="http://schemas.openxmlformats.org/drawingml/2006/main">
          <a:off x="895240" y="234186"/>
          <a:ext cx="10191860" cy="8834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2060"/>
              </a:solidFill>
            </a:rPr>
            <a:t>            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002060"/>
              </a:solidFill>
            </a:rPr>
            <a:t>   </a:t>
          </a:r>
          <a:r>
            <a:rPr lang="en-US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Relalative Density</a:t>
          </a:r>
          <a:endParaRPr lang="en-US" sz="1400">
            <a:solidFill>
              <a:srgbClr val="002060"/>
            </a:solidFill>
            <a:effectLst/>
          </a:endParaRP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</a:t>
          </a: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   1.3              1.325           1.350          1.375              1.40           1.425          1.450           1.50             1.60              1.70             1.80                2.0               2.20            2.80       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67733</xdr:colOff>
      <xdr:row>2</xdr:row>
      <xdr:rowOff>55032</xdr:rowOff>
    </xdr:from>
    <xdr:to>
      <xdr:col>21</xdr:col>
      <xdr:colOff>372533</xdr:colOff>
      <xdr:row>17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3AFA637-F9B4-4A1C-AAA4-5337489FF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29</xdr:row>
      <xdr:rowOff>83820</xdr:rowOff>
    </xdr:from>
    <xdr:to>
      <xdr:col>11</xdr:col>
      <xdr:colOff>91440</xdr:colOff>
      <xdr:row>44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9AD52A1-440C-4754-920B-C7476A505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CHNICAL%20SERVICES\10.0%20PROCESS\4.%20RAW%20Coal%20Quality\1.%20WASHABILITY\Wet%20tumbler%20-%20washability%20report\%2319-20-PR8_B35_4AL_01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Coal analysis"/>
      <sheetName val="Pretreatment"/>
      <sheetName val="Float sink"/>
      <sheetName val="Froth Flotation"/>
      <sheetName val="Composite Product Analysis "/>
    </sheetNames>
    <sheetDataSet>
      <sheetData sheetId="0">
        <row r="1">
          <cell r="C1" t="str">
            <v>PR8_B35_4AL_01-08</v>
          </cell>
        </row>
        <row r="3">
          <cell r="C3"/>
        </row>
        <row r="4">
          <cell r="C4"/>
        </row>
        <row r="5">
          <cell r="C5">
            <v>43668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80"/>
  <sheetViews>
    <sheetView showGridLines="0" view="pageBreakPreview" topLeftCell="A22" zoomScale="50" zoomScaleNormal="70" zoomScaleSheetLayoutView="50" workbookViewId="0">
      <selection activeCell="AF44" sqref="AF44"/>
    </sheetView>
  </sheetViews>
  <sheetFormatPr defaultRowHeight="15" x14ac:dyDescent="0.25"/>
  <cols>
    <col min="2" max="2" width="18.7109375" customWidth="1"/>
  </cols>
  <sheetData>
    <row r="1" spans="2:19" ht="26.25" x14ac:dyDescent="0.4">
      <c r="B1" s="1" t="s">
        <v>107</v>
      </c>
      <c r="L1" s="1" t="s">
        <v>108</v>
      </c>
    </row>
    <row r="2" spans="2:19" ht="26.25" x14ac:dyDescent="0.4">
      <c r="B2" s="2">
        <v>43674</v>
      </c>
    </row>
    <row r="3" spans="2:19" x14ac:dyDescent="0.25">
      <c r="I3" s="5"/>
    </row>
    <row r="4" spans="2:19" x14ac:dyDescent="0.25">
      <c r="I4" s="5"/>
    </row>
    <row r="5" spans="2:19" x14ac:dyDescent="0.25">
      <c r="I5" s="5"/>
    </row>
    <row r="6" spans="2:19" x14ac:dyDescent="0.25">
      <c r="I6" s="5"/>
    </row>
    <row r="7" spans="2:19" x14ac:dyDescent="0.25">
      <c r="I7" s="5"/>
    </row>
    <row r="8" spans="2:19" x14ac:dyDescent="0.25">
      <c r="I8" s="5"/>
    </row>
    <row r="9" spans="2:19" x14ac:dyDescent="0.25">
      <c r="I9" s="6"/>
    </row>
    <row r="10" spans="2:19" x14ac:dyDescent="0.25">
      <c r="I10" s="5"/>
    </row>
    <row r="11" spans="2:19" x14ac:dyDescent="0.25">
      <c r="I11" s="5"/>
    </row>
    <row r="12" spans="2:19" x14ac:dyDescent="0.25">
      <c r="I12" s="5"/>
    </row>
    <row r="13" spans="2:19" x14ac:dyDescent="0.25">
      <c r="I13" s="5"/>
    </row>
    <row r="14" spans="2:19" x14ac:dyDescent="0.25">
      <c r="I14" s="5"/>
    </row>
    <row r="15" spans="2:19" x14ac:dyDescent="0.25">
      <c r="I15" s="5"/>
    </row>
    <row r="16" spans="2:19" ht="15.75" x14ac:dyDescent="0.25">
      <c r="I16" s="5"/>
      <c r="S16" s="85"/>
    </row>
    <row r="17" spans="9:9" x14ac:dyDescent="0.25">
      <c r="I17" s="5"/>
    </row>
    <row r="18" spans="9:9" x14ac:dyDescent="0.25">
      <c r="I18" s="5"/>
    </row>
    <row r="19" spans="9:9" x14ac:dyDescent="0.25">
      <c r="I19" s="5"/>
    </row>
    <row r="20" spans="9:9" x14ac:dyDescent="0.25">
      <c r="I20" s="5"/>
    </row>
    <row r="21" spans="9:9" x14ac:dyDescent="0.25">
      <c r="I21" s="5"/>
    </row>
    <row r="22" spans="9:9" x14ac:dyDescent="0.25">
      <c r="I22" s="5"/>
    </row>
    <row r="23" spans="9:9" x14ac:dyDescent="0.25">
      <c r="I23" s="5"/>
    </row>
    <row r="24" spans="9:9" x14ac:dyDescent="0.25">
      <c r="I24" s="5"/>
    </row>
    <row r="25" spans="9:9" x14ac:dyDescent="0.25">
      <c r="I25" s="5"/>
    </row>
    <row r="26" spans="9:9" x14ac:dyDescent="0.25">
      <c r="I26" s="5"/>
    </row>
    <row r="27" spans="9:9" x14ac:dyDescent="0.25">
      <c r="I27" s="5"/>
    </row>
    <row r="28" spans="9:9" x14ac:dyDescent="0.25">
      <c r="I28" s="5"/>
    </row>
    <row r="29" spans="9:9" x14ac:dyDescent="0.25">
      <c r="I29" s="5"/>
    </row>
    <row r="30" spans="9:9" x14ac:dyDescent="0.25">
      <c r="I30" s="5"/>
    </row>
    <row r="31" spans="9:9" x14ac:dyDescent="0.25">
      <c r="I31" s="5"/>
    </row>
    <row r="32" spans="9:9" x14ac:dyDescent="0.25">
      <c r="I32" s="5"/>
    </row>
    <row r="33" spans="9:18" x14ac:dyDescent="0.25">
      <c r="I33" s="5"/>
    </row>
    <row r="34" spans="9:18" x14ac:dyDescent="0.25">
      <c r="I34" s="5"/>
    </row>
    <row r="35" spans="9:18" x14ac:dyDescent="0.25">
      <c r="I35" s="5"/>
    </row>
    <row r="36" spans="9:18" x14ac:dyDescent="0.25">
      <c r="I36" s="5"/>
    </row>
    <row r="37" spans="9:18" x14ac:dyDescent="0.25">
      <c r="I37" s="5"/>
    </row>
    <row r="38" spans="9:18" x14ac:dyDescent="0.25">
      <c r="I38" s="5"/>
    </row>
    <row r="39" spans="9:18" x14ac:dyDescent="0.25">
      <c r="I39" s="5"/>
    </row>
    <row r="40" spans="9:18" x14ac:dyDescent="0.25">
      <c r="I40" s="5"/>
    </row>
    <row r="41" spans="9:18" x14ac:dyDescent="0.25">
      <c r="I41" s="5"/>
    </row>
    <row r="42" spans="9:18" x14ac:dyDescent="0.25">
      <c r="I42" s="5"/>
    </row>
    <row r="43" spans="9:18" x14ac:dyDescent="0.25">
      <c r="I43" s="5"/>
    </row>
    <row r="44" spans="9:18" ht="18.75" x14ac:dyDescent="0.25">
      <c r="I44" s="7" t="s">
        <v>1</v>
      </c>
      <c r="R44" s="7" t="s">
        <v>2</v>
      </c>
    </row>
    <row r="47" spans="9:18" x14ac:dyDescent="0.25">
      <c r="I47" s="3"/>
    </row>
    <row r="48" spans="9:18" x14ac:dyDescent="0.25">
      <c r="I48" s="3"/>
    </row>
    <row r="49" spans="9:32" x14ac:dyDescent="0.25">
      <c r="I49" s="3"/>
    </row>
    <row r="50" spans="9:32" x14ac:dyDescent="0.25">
      <c r="I50" s="3"/>
    </row>
    <row r="51" spans="9:32" ht="18.75" x14ac:dyDescent="0.3">
      <c r="I51" s="3"/>
      <c r="P51" s="84" t="s">
        <v>3</v>
      </c>
      <c r="W51" s="84" t="s">
        <v>4</v>
      </c>
    </row>
    <row r="52" spans="9:32" x14ac:dyDescent="0.25">
      <c r="I52" s="3"/>
    </row>
    <row r="53" spans="9:32" x14ac:dyDescent="0.25">
      <c r="I53" s="3"/>
    </row>
    <row r="54" spans="9:32" x14ac:dyDescent="0.25">
      <c r="I54" s="3"/>
    </row>
    <row r="55" spans="9:32" ht="18.75" x14ac:dyDescent="0.25">
      <c r="I55" s="3"/>
      <c r="Y55" s="7" t="s">
        <v>5</v>
      </c>
      <c r="AF55" s="7" t="s">
        <v>6</v>
      </c>
    </row>
    <row r="56" spans="9:32" ht="18.75" x14ac:dyDescent="0.25">
      <c r="I56" s="3"/>
      <c r="J56" s="7" t="s">
        <v>5</v>
      </c>
      <c r="L56" s="8"/>
      <c r="Q56" s="7" t="s">
        <v>6</v>
      </c>
    </row>
    <row r="57" spans="9:32" x14ac:dyDescent="0.25">
      <c r="I57" s="3"/>
    </row>
    <row r="58" spans="9:32" x14ac:dyDescent="0.25">
      <c r="I58" s="9"/>
    </row>
    <row r="59" spans="9:32" x14ac:dyDescent="0.25">
      <c r="I59" s="3"/>
    </row>
    <row r="60" spans="9:32" x14ac:dyDescent="0.25">
      <c r="I60" s="3"/>
    </row>
    <row r="61" spans="9:32" x14ac:dyDescent="0.25">
      <c r="I61" s="3"/>
    </row>
    <row r="62" spans="9:32" x14ac:dyDescent="0.25">
      <c r="I62" s="3"/>
    </row>
    <row r="63" spans="9:32" x14ac:dyDescent="0.25">
      <c r="I63" s="3"/>
    </row>
    <row r="64" spans="9:32" x14ac:dyDescent="0.25">
      <c r="I64" s="3"/>
    </row>
    <row r="65" spans="9:9" x14ac:dyDescent="0.25">
      <c r="I65" s="3"/>
    </row>
    <row r="66" spans="9:9" x14ac:dyDescent="0.25">
      <c r="I66" s="3"/>
    </row>
    <row r="67" spans="9:9" x14ac:dyDescent="0.25">
      <c r="I67" s="3"/>
    </row>
    <row r="68" spans="9:9" x14ac:dyDescent="0.25">
      <c r="I68" s="3"/>
    </row>
    <row r="69" spans="9:9" x14ac:dyDescent="0.25">
      <c r="I69" s="10"/>
    </row>
    <row r="70" spans="9:9" x14ac:dyDescent="0.25">
      <c r="I70" s="3"/>
    </row>
    <row r="71" spans="9:9" x14ac:dyDescent="0.25">
      <c r="I71" s="3"/>
    </row>
    <row r="72" spans="9:9" x14ac:dyDescent="0.25">
      <c r="I72" s="3"/>
    </row>
    <row r="73" spans="9:9" x14ac:dyDescent="0.25">
      <c r="I73" s="3"/>
    </row>
    <row r="74" spans="9:9" x14ac:dyDescent="0.25">
      <c r="I74" s="3"/>
    </row>
    <row r="75" spans="9:9" x14ac:dyDescent="0.25">
      <c r="I75" s="3"/>
    </row>
    <row r="76" spans="9:9" x14ac:dyDescent="0.25">
      <c r="I76" s="3"/>
    </row>
    <row r="77" spans="9:9" x14ac:dyDescent="0.25">
      <c r="I77" s="3"/>
    </row>
    <row r="78" spans="9:9" x14ac:dyDescent="0.25">
      <c r="I78" s="3"/>
    </row>
    <row r="79" spans="9:9" x14ac:dyDescent="0.25">
      <c r="I79" s="3"/>
    </row>
    <row r="80" spans="9:9" x14ac:dyDescent="0.25">
      <c r="I80" s="11"/>
    </row>
  </sheetData>
  <pageMargins left="0.7" right="0.7" top="0.75" bottom="0.75" header="0.3" footer="0.3"/>
  <pageSetup paperSize="8" scale="45" fitToHeight="0" orientation="landscape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89"/>
  <sheetViews>
    <sheetView showGridLines="0" view="pageBreakPreview" topLeftCell="A43" zoomScale="70" zoomScaleNormal="70" zoomScaleSheetLayoutView="70" workbookViewId="0">
      <selection activeCell="T45" sqref="T45"/>
    </sheetView>
  </sheetViews>
  <sheetFormatPr defaultRowHeight="15" x14ac:dyDescent="0.25"/>
  <cols>
    <col min="2" max="2" width="19" bestFit="1" customWidth="1"/>
    <col min="37" max="37" width="8.85546875" customWidth="1"/>
  </cols>
  <sheetData>
    <row r="2" spans="2:12" ht="26.25" x14ac:dyDescent="0.4">
      <c r="B2" s="1" t="s">
        <v>107</v>
      </c>
      <c r="L2" s="1" t="s">
        <v>0</v>
      </c>
    </row>
    <row r="3" spans="2:12" ht="26.25" x14ac:dyDescent="0.4">
      <c r="B3" s="2">
        <v>43674</v>
      </c>
    </row>
    <row r="7" spans="2:12" x14ac:dyDescent="0.25">
      <c r="I7" s="3"/>
    </row>
    <row r="8" spans="2:12" x14ac:dyDescent="0.25">
      <c r="I8" s="4"/>
    </row>
    <row r="9" spans="2:12" x14ac:dyDescent="0.25">
      <c r="I9" s="5"/>
    </row>
    <row r="10" spans="2:12" x14ac:dyDescent="0.25">
      <c r="I10" s="5"/>
    </row>
    <row r="11" spans="2:12" x14ac:dyDescent="0.25">
      <c r="I11" s="5"/>
    </row>
    <row r="12" spans="2:12" x14ac:dyDescent="0.25">
      <c r="I12" s="5"/>
    </row>
    <row r="13" spans="2:12" x14ac:dyDescent="0.25">
      <c r="I13" s="5"/>
    </row>
    <row r="14" spans="2:12" x14ac:dyDescent="0.25">
      <c r="I14" s="5"/>
    </row>
    <row r="15" spans="2:12" x14ac:dyDescent="0.25">
      <c r="I15" s="5"/>
    </row>
    <row r="16" spans="2:12" x14ac:dyDescent="0.25">
      <c r="I16" s="5"/>
    </row>
    <row r="17" spans="9:9" x14ac:dyDescent="0.25">
      <c r="I17" s="5"/>
    </row>
    <row r="18" spans="9:9" x14ac:dyDescent="0.25">
      <c r="I18" s="6"/>
    </row>
    <row r="19" spans="9:9" x14ac:dyDescent="0.25">
      <c r="I19" s="5"/>
    </row>
    <row r="20" spans="9:9" x14ac:dyDescent="0.25">
      <c r="I20" s="5"/>
    </row>
    <row r="21" spans="9:9" x14ac:dyDescent="0.25">
      <c r="I21" s="5"/>
    </row>
    <row r="22" spans="9:9" x14ac:dyDescent="0.25">
      <c r="I22" s="5"/>
    </row>
    <row r="23" spans="9:9" x14ac:dyDescent="0.25">
      <c r="I23" s="5"/>
    </row>
    <row r="24" spans="9:9" x14ac:dyDescent="0.25">
      <c r="I24" s="5"/>
    </row>
    <row r="25" spans="9:9" x14ac:dyDescent="0.25">
      <c r="I25" s="5"/>
    </row>
    <row r="26" spans="9:9" x14ac:dyDescent="0.25">
      <c r="I26" s="5"/>
    </row>
    <row r="27" spans="9:9" x14ac:dyDescent="0.25">
      <c r="I27" s="5"/>
    </row>
    <row r="28" spans="9:9" x14ac:dyDescent="0.25">
      <c r="I28" s="5"/>
    </row>
    <row r="29" spans="9:9" x14ac:dyDescent="0.25">
      <c r="I29" s="5"/>
    </row>
    <row r="30" spans="9:9" x14ac:dyDescent="0.25">
      <c r="I30" s="5"/>
    </row>
    <row r="31" spans="9:9" x14ac:dyDescent="0.25">
      <c r="I31" s="5"/>
    </row>
    <row r="32" spans="9:9" x14ac:dyDescent="0.25">
      <c r="I32" s="5"/>
    </row>
    <row r="33" spans="9:9" x14ac:dyDescent="0.25">
      <c r="I33" s="5"/>
    </row>
    <row r="34" spans="9:9" x14ac:dyDescent="0.25">
      <c r="I34" s="5"/>
    </row>
    <row r="35" spans="9:9" x14ac:dyDescent="0.25">
      <c r="I35" s="5"/>
    </row>
    <row r="36" spans="9:9" x14ac:dyDescent="0.25">
      <c r="I36" s="5"/>
    </row>
    <row r="37" spans="9:9" x14ac:dyDescent="0.25">
      <c r="I37" s="5"/>
    </row>
    <row r="38" spans="9:9" x14ac:dyDescent="0.25">
      <c r="I38" s="5"/>
    </row>
    <row r="39" spans="9:9" x14ac:dyDescent="0.25">
      <c r="I39" s="5"/>
    </row>
    <row r="40" spans="9:9" x14ac:dyDescent="0.25">
      <c r="I40" s="5"/>
    </row>
    <row r="41" spans="9:9" x14ac:dyDescent="0.25">
      <c r="I41" s="5"/>
    </row>
    <row r="42" spans="9:9" x14ac:dyDescent="0.25">
      <c r="I42" s="5"/>
    </row>
    <row r="43" spans="9:9" x14ac:dyDescent="0.25">
      <c r="I43" s="5"/>
    </row>
    <row r="44" spans="9:9" x14ac:dyDescent="0.25">
      <c r="I44" s="5"/>
    </row>
    <row r="45" spans="9:9" x14ac:dyDescent="0.25">
      <c r="I45" s="5"/>
    </row>
    <row r="46" spans="9:9" x14ac:dyDescent="0.25">
      <c r="I46" s="5"/>
    </row>
    <row r="47" spans="9:9" x14ac:dyDescent="0.25">
      <c r="I47" s="5"/>
    </row>
    <row r="48" spans="9:9" x14ac:dyDescent="0.25">
      <c r="I48" s="5"/>
    </row>
    <row r="49" spans="9:32" x14ac:dyDescent="0.25">
      <c r="I49" s="5"/>
    </row>
    <row r="50" spans="9:32" x14ac:dyDescent="0.25">
      <c r="I50" s="5"/>
    </row>
    <row r="51" spans="9:32" x14ac:dyDescent="0.25">
      <c r="I51" s="5"/>
    </row>
    <row r="52" spans="9:32" x14ac:dyDescent="0.25">
      <c r="I52" s="5"/>
    </row>
    <row r="53" spans="9:32" ht="18.75" x14ac:dyDescent="0.25">
      <c r="I53" s="7"/>
    </row>
    <row r="54" spans="9:32" ht="18.75" x14ac:dyDescent="0.25">
      <c r="I54" s="7" t="s">
        <v>106</v>
      </c>
      <c r="Q54" s="7" t="s">
        <v>105</v>
      </c>
    </row>
    <row r="56" spans="9:32" x14ac:dyDescent="0.25">
      <c r="I56" s="3"/>
    </row>
    <row r="57" spans="9:32" x14ac:dyDescent="0.25">
      <c r="I57" s="3"/>
    </row>
    <row r="58" spans="9:32" x14ac:dyDescent="0.25">
      <c r="I58" s="3"/>
    </row>
    <row r="59" spans="9:32" x14ac:dyDescent="0.25">
      <c r="I59" s="3"/>
    </row>
    <row r="60" spans="9:32" ht="18.75" x14ac:dyDescent="0.3">
      <c r="I60" s="3"/>
      <c r="P60" s="84" t="s">
        <v>103</v>
      </c>
      <c r="W60" s="84" t="s">
        <v>104</v>
      </c>
    </row>
    <row r="61" spans="9:32" x14ac:dyDescent="0.25">
      <c r="I61" s="3"/>
    </row>
    <row r="62" spans="9:32" x14ac:dyDescent="0.25">
      <c r="I62" s="3"/>
    </row>
    <row r="63" spans="9:32" x14ac:dyDescent="0.25">
      <c r="I63" s="3"/>
    </row>
    <row r="64" spans="9:32" ht="18.75" x14ac:dyDescent="0.25">
      <c r="I64" s="3"/>
      <c r="Y64" s="7" t="s">
        <v>101</v>
      </c>
      <c r="AF64" s="7" t="s">
        <v>6</v>
      </c>
    </row>
    <row r="65" spans="9:17" ht="18.75" x14ac:dyDescent="0.25">
      <c r="I65" s="3"/>
      <c r="J65" s="7" t="s">
        <v>102</v>
      </c>
      <c r="L65" s="8"/>
      <c r="Q65" s="7" t="s">
        <v>6</v>
      </c>
    </row>
    <row r="66" spans="9:17" x14ac:dyDescent="0.25">
      <c r="I66" s="3"/>
    </row>
    <row r="67" spans="9:17" x14ac:dyDescent="0.25">
      <c r="I67" s="9"/>
    </row>
    <row r="68" spans="9:17" x14ac:dyDescent="0.25">
      <c r="I68" s="3"/>
    </row>
    <row r="69" spans="9:17" x14ac:dyDescent="0.25">
      <c r="I69" s="3"/>
    </row>
    <row r="70" spans="9:17" x14ac:dyDescent="0.25">
      <c r="I70" s="3"/>
    </row>
    <row r="71" spans="9:17" x14ac:dyDescent="0.25">
      <c r="I71" s="3"/>
    </row>
    <row r="72" spans="9:17" x14ac:dyDescent="0.25">
      <c r="I72" s="3"/>
    </row>
    <row r="73" spans="9:17" x14ac:dyDescent="0.25">
      <c r="I73" s="3"/>
    </row>
    <row r="74" spans="9:17" x14ac:dyDescent="0.25">
      <c r="I74" s="3"/>
    </row>
    <row r="75" spans="9:17" x14ac:dyDescent="0.25">
      <c r="I75" s="3"/>
    </row>
    <row r="76" spans="9:17" x14ac:dyDescent="0.25">
      <c r="I76" s="3"/>
    </row>
    <row r="77" spans="9:17" x14ac:dyDescent="0.25">
      <c r="I77" s="3"/>
    </row>
    <row r="78" spans="9:17" x14ac:dyDescent="0.25">
      <c r="I78" s="10"/>
    </row>
    <row r="79" spans="9:17" x14ac:dyDescent="0.25">
      <c r="I79" s="3"/>
    </row>
    <row r="80" spans="9:17" x14ac:dyDescent="0.25">
      <c r="I80" s="3"/>
    </row>
    <row r="81" spans="9:9" x14ac:dyDescent="0.25">
      <c r="I81" s="3"/>
    </row>
    <row r="82" spans="9:9" x14ac:dyDescent="0.25">
      <c r="I82" s="3"/>
    </row>
    <row r="83" spans="9:9" x14ac:dyDescent="0.25">
      <c r="I83" s="3"/>
    </row>
    <row r="84" spans="9:9" x14ac:dyDescent="0.25">
      <c r="I84" s="3"/>
    </row>
    <row r="85" spans="9:9" x14ac:dyDescent="0.25">
      <c r="I85" s="3"/>
    </row>
    <row r="86" spans="9:9" x14ac:dyDescent="0.25">
      <c r="I86" s="3"/>
    </row>
    <row r="87" spans="9:9" x14ac:dyDescent="0.25">
      <c r="I87" s="3"/>
    </row>
    <row r="88" spans="9:9" x14ac:dyDescent="0.25">
      <c r="I88" s="3"/>
    </row>
    <row r="89" spans="9:9" x14ac:dyDescent="0.25">
      <c r="I89" s="11"/>
    </row>
  </sheetData>
  <printOptions horizontalCentered="1" verticalCentered="1"/>
  <pageMargins left="0.25" right="0.25" top="0.75" bottom="0.75" header="0.3" footer="0.3"/>
  <pageSetup paperSize="9" scale="2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showGridLines="0" view="pageBreakPreview" zoomScaleNormal="100" zoomScaleSheetLayoutView="100" workbookViewId="0">
      <selection activeCell="C13" sqref="C13"/>
    </sheetView>
  </sheetViews>
  <sheetFormatPr defaultRowHeight="15" x14ac:dyDescent="0.25"/>
  <cols>
    <col min="1" max="1" width="4.140625" customWidth="1"/>
    <col min="2" max="2" width="24.85546875" customWidth="1"/>
    <col min="3" max="3" width="23.85546875" customWidth="1"/>
    <col min="4" max="4" width="15.5703125" customWidth="1"/>
    <col min="6" max="7" width="10.7109375" bestFit="1" customWidth="1"/>
  </cols>
  <sheetData>
    <row r="1" spans="2:10" x14ac:dyDescent="0.25">
      <c r="B1" s="12" t="s">
        <v>7</v>
      </c>
      <c r="C1" t="s">
        <v>193</v>
      </c>
    </row>
    <row r="2" spans="2:10" x14ac:dyDescent="0.25">
      <c r="B2" s="12" t="s">
        <v>8</v>
      </c>
      <c r="C2" t="s">
        <v>194</v>
      </c>
    </row>
    <row r="3" spans="2:10" x14ac:dyDescent="0.25">
      <c r="B3" s="12" t="s">
        <v>9</v>
      </c>
    </row>
    <row r="4" spans="2:10" x14ac:dyDescent="0.25">
      <c r="B4" s="12" t="s">
        <v>10</v>
      </c>
    </row>
    <row r="5" spans="2:10" x14ac:dyDescent="0.25">
      <c r="B5" s="12" t="s">
        <v>11</v>
      </c>
      <c r="C5" s="92">
        <v>43668</v>
      </c>
    </row>
    <row r="7" spans="2:10" x14ac:dyDescent="0.25">
      <c r="B7" s="13" t="s">
        <v>12</v>
      </c>
      <c r="C7" s="271" t="str">
        <f>C1</f>
        <v>PR8_B35_4AL_01-08</v>
      </c>
      <c r="D7" s="15"/>
      <c r="E7" s="15"/>
      <c r="F7" s="15"/>
      <c r="G7" s="15"/>
      <c r="H7" s="15"/>
      <c r="I7" s="15"/>
      <c r="J7" s="15"/>
    </row>
    <row r="8" spans="2:10" x14ac:dyDescent="0.25">
      <c r="B8" s="13" t="s">
        <v>13</v>
      </c>
      <c r="C8" s="285">
        <v>288</v>
      </c>
      <c r="E8" s="17"/>
      <c r="F8" s="17"/>
    </row>
    <row r="9" spans="2:10" x14ac:dyDescent="0.25">
      <c r="B9" s="13" t="s">
        <v>14</v>
      </c>
      <c r="C9" s="285">
        <v>1.67</v>
      </c>
    </row>
    <row r="10" spans="2:10" x14ac:dyDescent="0.25">
      <c r="B10" s="13" t="s">
        <v>15</v>
      </c>
      <c r="C10" s="273">
        <v>0.9</v>
      </c>
    </row>
    <row r="11" spans="2:10" x14ac:dyDescent="0.25">
      <c r="B11" s="13" t="s">
        <v>17</v>
      </c>
      <c r="C11" s="273">
        <v>24.76</v>
      </c>
    </row>
    <row r="12" spans="2:10" x14ac:dyDescent="0.25">
      <c r="B12" s="13" t="s">
        <v>109</v>
      </c>
      <c r="C12" s="273">
        <f>C11*100/(100-C10)</f>
        <v>24.984863773965692</v>
      </c>
    </row>
    <row r="13" spans="2:10" x14ac:dyDescent="0.25">
      <c r="B13" s="13" t="s">
        <v>18</v>
      </c>
      <c r="C13" s="272">
        <v>21.81</v>
      </c>
    </row>
    <row r="14" spans="2:10" x14ac:dyDescent="0.25">
      <c r="B14" s="13" t="s">
        <v>110</v>
      </c>
      <c r="C14" s="274">
        <f>C13*100/(100-C10-C11)</f>
        <v>29.338175948345445</v>
      </c>
    </row>
    <row r="15" spans="2:10" x14ac:dyDescent="0.25">
      <c r="B15" s="13" t="s">
        <v>19</v>
      </c>
      <c r="C15" s="272">
        <v>5.5</v>
      </c>
    </row>
    <row r="16" spans="2:10" x14ac:dyDescent="0.25">
      <c r="B16" s="13" t="s">
        <v>20</v>
      </c>
      <c r="C16" s="272">
        <v>61</v>
      </c>
    </row>
    <row r="17" spans="2:3" x14ac:dyDescent="0.25">
      <c r="B17" s="13" t="s">
        <v>21</v>
      </c>
      <c r="C17" s="272">
        <v>0.59</v>
      </c>
    </row>
    <row r="18" spans="2:3" x14ac:dyDescent="0.25">
      <c r="B18" s="13" t="s">
        <v>111</v>
      </c>
      <c r="C18" s="274">
        <f>C17*100/(100-C10)</f>
        <v>0.59535822401614535</v>
      </c>
    </row>
    <row r="19" spans="2:3" x14ac:dyDescent="0.25">
      <c r="B19" s="13" t="s">
        <v>22</v>
      </c>
      <c r="C19" s="272">
        <v>1.49</v>
      </c>
    </row>
    <row r="20" spans="2:3" x14ac:dyDescent="0.25">
      <c r="B20" s="19"/>
    </row>
    <row r="22" spans="2:3" x14ac:dyDescent="0.25">
      <c r="B22" s="20" t="s">
        <v>23</v>
      </c>
    </row>
    <row r="23" spans="2:3" ht="29.45" customHeight="1" x14ac:dyDescent="0.25">
      <c r="B23" s="21" t="s">
        <v>24</v>
      </c>
      <c r="C23" s="14"/>
    </row>
    <row r="24" spans="2:3" x14ac:dyDescent="0.25">
      <c r="B24" s="13" t="s">
        <v>25</v>
      </c>
      <c r="C24" s="16"/>
    </row>
    <row r="25" spans="2:3" x14ac:dyDescent="0.25">
      <c r="B25" s="22"/>
      <c r="C25" s="16"/>
    </row>
    <row r="26" spans="2:3" x14ac:dyDescent="0.25">
      <c r="B26" s="13" t="s">
        <v>26</v>
      </c>
      <c r="C26" s="18"/>
    </row>
    <row r="27" spans="2:3" x14ac:dyDescent="0.25">
      <c r="B27" s="13" t="s">
        <v>27</v>
      </c>
      <c r="C27" s="18"/>
    </row>
    <row r="28" spans="2:3" x14ac:dyDescent="0.25">
      <c r="B28" s="13" t="s">
        <v>28</v>
      </c>
      <c r="C28" s="16"/>
    </row>
  </sheetData>
  <pageMargins left="0.7" right="0.7" top="0.75" bottom="0.75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59"/>
  <sheetViews>
    <sheetView showGridLines="0" view="pageBreakPreview" topLeftCell="A31" zoomScale="85" zoomScaleNormal="100" zoomScaleSheetLayoutView="85" workbookViewId="0">
      <selection activeCell="N42" sqref="N42"/>
    </sheetView>
  </sheetViews>
  <sheetFormatPr defaultColWidth="8.85546875" defaultRowHeight="14.25" x14ac:dyDescent="0.2"/>
  <cols>
    <col min="1" max="1" width="3.85546875" style="24" customWidth="1"/>
    <col min="2" max="2" width="31.140625" style="24" customWidth="1"/>
    <col min="3" max="3" width="14.5703125" style="24" customWidth="1"/>
    <col min="4" max="4" width="13.28515625" style="24" bestFit="1" customWidth="1"/>
    <col min="5" max="5" width="10.7109375" style="24" customWidth="1"/>
    <col min="6" max="6" width="3.5703125" style="24" customWidth="1"/>
    <col min="7" max="7" width="11.5703125" style="24" customWidth="1"/>
    <col min="8" max="8" width="11.7109375" style="24" bestFit="1" customWidth="1"/>
    <col min="9" max="9" width="9.7109375" style="24" customWidth="1"/>
    <col min="10" max="10" width="13.42578125" style="24" customWidth="1"/>
    <col min="11" max="12" width="8.85546875" style="24"/>
    <col min="13" max="13" width="10.140625" style="24" customWidth="1"/>
    <col min="14" max="14" width="12.28515625" style="24" customWidth="1"/>
    <col min="15" max="15" width="15.7109375" style="24" bestFit="1" customWidth="1"/>
    <col min="16" max="18" width="8.85546875" style="24"/>
    <col min="19" max="19" width="12" style="24" customWidth="1"/>
    <col min="20" max="20" width="14.85546875" style="24" customWidth="1"/>
    <col min="21" max="23" width="8.85546875" style="24"/>
    <col min="24" max="28" width="0" style="24" hidden="1" customWidth="1"/>
    <col min="29" max="16384" width="8.85546875" style="24"/>
  </cols>
  <sheetData>
    <row r="2" spans="2:28" x14ac:dyDescent="0.2">
      <c r="B2" s="23" t="s">
        <v>7</v>
      </c>
      <c r="C2" s="290" t="str">
        <f>'[1]Raw Coal analysis'!C1</f>
        <v>PR8_B35_4AL_01-08</v>
      </c>
      <c r="D2" s="290"/>
      <c r="X2" s="23" t="s">
        <v>114</v>
      </c>
    </row>
    <row r="3" spans="2:28" x14ac:dyDescent="0.2">
      <c r="B3" s="23" t="s">
        <v>8</v>
      </c>
      <c r="C3" s="290" t="s">
        <v>29</v>
      </c>
      <c r="D3" s="290"/>
      <c r="X3" s="24" t="s">
        <v>115</v>
      </c>
      <c r="Z3" s="24">
        <v>0.01</v>
      </c>
      <c r="AA3" s="24">
        <f>LN(-LN(1-AB3/100))</f>
        <v>1.5271796258079011</v>
      </c>
      <c r="AB3" s="24">
        <v>99</v>
      </c>
    </row>
    <row r="4" spans="2:28" x14ac:dyDescent="0.2">
      <c r="B4" s="23" t="s">
        <v>9</v>
      </c>
      <c r="C4" s="290">
        <f>'[1]Raw Coal analysis'!C3</f>
        <v>0</v>
      </c>
      <c r="D4" s="290"/>
      <c r="X4" s="24" t="s">
        <v>116</v>
      </c>
      <c r="Z4" s="24">
        <v>1000</v>
      </c>
      <c r="AA4" s="24">
        <f>LN(-LN(1-AB3/100))</f>
        <v>1.5271796258079011</v>
      </c>
    </row>
    <row r="5" spans="2:28" x14ac:dyDescent="0.2">
      <c r="B5" s="23" t="s">
        <v>10</v>
      </c>
      <c r="C5" s="290">
        <f>'[1]Raw Coal analysis'!C4</f>
        <v>0</v>
      </c>
      <c r="D5" s="290"/>
    </row>
    <row r="6" spans="2:28" x14ac:dyDescent="0.2">
      <c r="B6" s="23" t="s">
        <v>11</v>
      </c>
      <c r="C6" s="291">
        <f>'[1]Raw Coal analysis'!C5</f>
        <v>43668</v>
      </c>
      <c r="D6" s="291"/>
      <c r="Z6" s="24">
        <v>0.01</v>
      </c>
      <c r="AA6" s="24">
        <f>LN(-LN(1-AB6/100))</f>
        <v>1.0971887003649483</v>
      </c>
      <c r="AB6" s="24">
        <v>95</v>
      </c>
    </row>
    <row r="7" spans="2:28" x14ac:dyDescent="0.2">
      <c r="B7" s="23"/>
      <c r="C7" s="87"/>
    </row>
    <row r="8" spans="2:28" x14ac:dyDescent="0.2">
      <c r="B8" s="23"/>
      <c r="C8" s="87"/>
    </row>
    <row r="9" spans="2:28" x14ac:dyDescent="0.2">
      <c r="B9" s="23"/>
      <c r="C9" s="87"/>
    </row>
    <row r="10" spans="2:28" x14ac:dyDescent="0.2">
      <c r="B10" s="23"/>
      <c r="C10" s="87"/>
    </row>
    <row r="11" spans="2:28" x14ac:dyDescent="0.2">
      <c r="B11" s="23"/>
      <c r="C11" s="87"/>
    </row>
    <row r="12" spans="2:28" x14ac:dyDescent="0.2">
      <c r="B12" s="23"/>
      <c r="C12" s="87"/>
    </row>
    <row r="13" spans="2:28" x14ac:dyDescent="0.2">
      <c r="B13" s="23"/>
      <c r="C13" s="87"/>
    </row>
    <row r="14" spans="2:28" x14ac:dyDescent="0.2">
      <c r="Z14" s="24">
        <v>1000</v>
      </c>
      <c r="AA14" s="24">
        <f>LN(-LN(1-AB6/100))</f>
        <v>1.0971887003649483</v>
      </c>
    </row>
    <row r="15" spans="2:28" ht="42.75" x14ac:dyDescent="0.2">
      <c r="B15" s="25" t="s">
        <v>30</v>
      </c>
      <c r="C15" s="26" t="s">
        <v>31</v>
      </c>
      <c r="D15" s="27" t="s">
        <v>32</v>
      </c>
      <c r="E15" s="27" t="s">
        <v>33</v>
      </c>
    </row>
    <row r="16" spans="2:28" x14ac:dyDescent="0.2">
      <c r="B16" s="28" t="s">
        <v>34</v>
      </c>
      <c r="C16" s="29"/>
      <c r="D16" s="258">
        <v>288</v>
      </c>
      <c r="E16" s="30" t="s">
        <v>16</v>
      </c>
      <c r="Z16" s="24">
        <v>0.01</v>
      </c>
      <c r="AA16" s="24">
        <f>LN(-LN(1-AB16/100))</f>
        <v>0.83403244524795594</v>
      </c>
      <c r="AB16" s="24">
        <v>90</v>
      </c>
    </row>
    <row r="17" spans="2:28" x14ac:dyDescent="0.2">
      <c r="B17" s="31"/>
      <c r="C17" s="32" t="s">
        <v>35</v>
      </c>
      <c r="D17" s="259">
        <v>10</v>
      </c>
      <c r="E17" s="33">
        <f>D17/$D$21</f>
        <v>3.4482758620689655E-2</v>
      </c>
      <c r="Z17" s="24">
        <v>1000</v>
      </c>
      <c r="AA17" s="24">
        <f>LN(-LN(1-AB16/100))</f>
        <v>0.83403244524795594</v>
      </c>
    </row>
    <row r="18" spans="2:28" x14ac:dyDescent="0.2">
      <c r="B18" s="31" t="s">
        <v>36</v>
      </c>
      <c r="C18" s="32"/>
      <c r="D18" s="259">
        <v>280</v>
      </c>
      <c r="E18" s="33">
        <f>D18/$D$21</f>
        <v>0.96551724137931039</v>
      </c>
    </row>
    <row r="19" spans="2:28" x14ac:dyDescent="0.2">
      <c r="B19" s="34" t="s">
        <v>37</v>
      </c>
      <c r="C19" s="35"/>
      <c r="D19" s="36">
        <f>D16-(D17+D18)</f>
        <v>-2</v>
      </c>
      <c r="E19" s="37">
        <f>D19/D16</f>
        <v>-6.9444444444444441E-3</v>
      </c>
      <c r="Z19" s="24">
        <v>0.01</v>
      </c>
      <c r="AA19" s="24">
        <f>LN(-LN(1-AB19/100))</f>
        <v>0.4758849953271107</v>
      </c>
      <c r="AB19" s="24">
        <v>80</v>
      </c>
    </row>
    <row r="20" spans="2:28" ht="17.45" customHeight="1" x14ac:dyDescent="0.2">
      <c r="B20" s="38"/>
      <c r="C20" s="39"/>
      <c r="D20" s="39"/>
      <c r="E20" s="40"/>
      <c r="Z20" s="24">
        <v>1000</v>
      </c>
      <c r="AA20" s="24">
        <f>LN(-LN(1-AB19/100))</f>
        <v>0.4758849953271107</v>
      </c>
    </row>
    <row r="21" spans="2:28" x14ac:dyDescent="0.2">
      <c r="B21" s="41" t="s">
        <v>38</v>
      </c>
      <c r="C21" s="42"/>
      <c r="D21" s="43">
        <f>D17+D18</f>
        <v>290</v>
      </c>
      <c r="E21" s="44">
        <f>D21/D16</f>
        <v>1.0069444444444444</v>
      </c>
    </row>
    <row r="22" spans="2:28" x14ac:dyDescent="0.2">
      <c r="B22" s="35" t="s">
        <v>39</v>
      </c>
      <c r="C22" s="45"/>
      <c r="D22" s="46">
        <f>D17+D18+D19</f>
        <v>288</v>
      </c>
      <c r="E22" s="47">
        <f>D22/D16</f>
        <v>1</v>
      </c>
      <c r="Z22" s="24">
        <v>0.01</v>
      </c>
      <c r="AA22" s="24">
        <f>LN(-LN(1-AB22/100))</f>
        <v>0.18562675886236557</v>
      </c>
      <c r="AB22" s="24">
        <v>70</v>
      </c>
    </row>
    <row r="23" spans="2:28" ht="16.149999999999999" customHeight="1" x14ac:dyDescent="0.2">
      <c r="Q23" s="24" t="s">
        <v>123</v>
      </c>
      <c r="Z23" s="24">
        <v>1000</v>
      </c>
      <c r="AA23" s="24">
        <f>LN(-LN(1-AB22/100))</f>
        <v>0.18562675886236557</v>
      </c>
    </row>
    <row r="24" spans="2:28" ht="28.5" x14ac:dyDescent="0.2">
      <c r="B24" s="25" t="s">
        <v>40</v>
      </c>
      <c r="C24" s="26" t="s">
        <v>31</v>
      </c>
      <c r="D24" s="27" t="s">
        <v>32</v>
      </c>
      <c r="E24" s="27" t="s">
        <v>33</v>
      </c>
      <c r="G24" s="86" t="s">
        <v>112</v>
      </c>
      <c r="H24" s="27" t="s">
        <v>15</v>
      </c>
      <c r="I24" s="27" t="s">
        <v>17</v>
      </c>
      <c r="J24" s="88" t="s">
        <v>109</v>
      </c>
      <c r="Q24" s="86" t="s">
        <v>117</v>
      </c>
      <c r="R24" s="102" t="s">
        <v>118</v>
      </c>
      <c r="S24" s="102" t="s">
        <v>119</v>
      </c>
      <c r="T24" s="88" t="s">
        <v>120</v>
      </c>
      <c r="U24" s="102" t="s">
        <v>121</v>
      </c>
    </row>
    <row r="25" spans="2:28" x14ac:dyDescent="0.2">
      <c r="B25" s="29" t="s">
        <v>34</v>
      </c>
      <c r="C25" s="48"/>
      <c r="D25" s="260">
        <v>100</v>
      </c>
      <c r="E25" s="30" t="s">
        <v>16</v>
      </c>
      <c r="G25" s="89"/>
      <c r="H25" s="49" t="s">
        <v>16</v>
      </c>
      <c r="I25" s="49" t="s">
        <v>16</v>
      </c>
      <c r="J25" s="89"/>
      <c r="Q25" s="89"/>
      <c r="R25" s="89"/>
      <c r="S25" s="89"/>
      <c r="T25" s="89"/>
      <c r="U25" s="89"/>
      <c r="Z25" s="24">
        <v>0.01</v>
      </c>
      <c r="AA25" s="24">
        <f>LN(-LN(1-AB25/100))</f>
        <v>-8.7421571790755173E-2</v>
      </c>
      <c r="AB25" s="24">
        <v>60</v>
      </c>
    </row>
    <row r="26" spans="2:28" x14ac:dyDescent="0.2">
      <c r="B26" s="32" t="s">
        <v>36</v>
      </c>
      <c r="C26" s="50" t="s">
        <v>41</v>
      </c>
      <c r="D26" s="261">
        <v>10.6</v>
      </c>
      <c r="E26" s="33">
        <f>D26/$D$25</f>
        <v>0.106</v>
      </c>
      <c r="G26" s="90">
        <f t="shared" ref="G26:G32" si="0">D26/$D$35*100</f>
        <v>10.6</v>
      </c>
      <c r="H26" s="261">
        <v>0.81</v>
      </c>
      <c r="I26" s="261">
        <v>31.9</v>
      </c>
      <c r="J26" s="262">
        <f t="shared" ref="J26:J32" si="1">I26*100/(100-H26)</f>
        <v>32.160500050408309</v>
      </c>
      <c r="Q26" s="56">
        <v>50</v>
      </c>
      <c r="R26" s="90">
        <f t="shared" ref="R26:R32" si="2">G26</f>
        <v>10.6</v>
      </c>
      <c r="S26" s="90">
        <f>SUM(R26:$R$32)</f>
        <v>100</v>
      </c>
      <c r="T26" s="56" t="s">
        <v>122</v>
      </c>
      <c r="U26" s="56">
        <f>LN(Q26)</f>
        <v>3.912023005428146</v>
      </c>
      <c r="Z26" s="24">
        <v>1000</v>
      </c>
      <c r="AA26" s="24">
        <f>LN(-LN(1-AB25/100))</f>
        <v>-8.7421571790755173E-2</v>
      </c>
    </row>
    <row r="27" spans="2:28" x14ac:dyDescent="0.2">
      <c r="B27" s="32" t="s">
        <v>42</v>
      </c>
      <c r="C27" s="50" t="s">
        <v>43</v>
      </c>
      <c r="D27" s="261">
        <v>16</v>
      </c>
      <c r="E27" s="33">
        <f t="shared" ref="E27:E33" si="3">D27/$D$25</f>
        <v>0.16</v>
      </c>
      <c r="G27" s="90">
        <f t="shared" si="0"/>
        <v>16</v>
      </c>
      <c r="H27" s="261">
        <v>0.88</v>
      </c>
      <c r="I27" s="261">
        <v>32.01</v>
      </c>
      <c r="J27" s="262">
        <f t="shared" si="1"/>
        <v>32.294188861985468</v>
      </c>
      <c r="Q27" s="56">
        <v>31.5</v>
      </c>
      <c r="R27" s="90">
        <f t="shared" si="2"/>
        <v>16</v>
      </c>
      <c r="S27" s="90">
        <f>SUM(R27:$R$32)</f>
        <v>89.4</v>
      </c>
      <c r="T27" s="56">
        <f t="shared" ref="T27:T32" si="4">LN(-LN(1-S27/100))</f>
        <v>0.80840088008316235</v>
      </c>
      <c r="U27" s="56">
        <f t="shared" ref="U27:U32" si="5">LN(Q27)</f>
        <v>3.4499875458315872</v>
      </c>
    </row>
    <row r="28" spans="2:28" x14ac:dyDescent="0.2">
      <c r="B28" s="32" t="s">
        <v>44</v>
      </c>
      <c r="C28" s="50" t="s">
        <v>45</v>
      </c>
      <c r="D28" s="261">
        <v>17</v>
      </c>
      <c r="E28" s="33">
        <f t="shared" si="3"/>
        <v>0.17</v>
      </c>
      <c r="G28" s="90">
        <f t="shared" si="0"/>
        <v>17</v>
      </c>
      <c r="H28" s="261">
        <v>0.86</v>
      </c>
      <c r="I28" s="261">
        <v>29.22</v>
      </c>
      <c r="J28" s="262">
        <f t="shared" si="1"/>
        <v>29.473471857978616</v>
      </c>
      <c r="Q28" s="56">
        <v>16</v>
      </c>
      <c r="R28" s="90">
        <f t="shared" si="2"/>
        <v>17</v>
      </c>
      <c r="S28" s="90">
        <f>SUM(R28:$R$32)</f>
        <v>73.400000000000006</v>
      </c>
      <c r="T28" s="56">
        <f t="shared" si="4"/>
        <v>0.28085303521637656</v>
      </c>
      <c r="U28" s="56">
        <f t="shared" si="5"/>
        <v>2.7725887222397811</v>
      </c>
      <c r="Z28" s="24">
        <v>0.01</v>
      </c>
      <c r="AA28" s="24">
        <f>LN(-LN(1-AB28/100))</f>
        <v>-0.36651292058166435</v>
      </c>
      <c r="AB28" s="24">
        <v>50</v>
      </c>
    </row>
    <row r="29" spans="2:28" x14ac:dyDescent="0.2">
      <c r="B29" s="32" t="s">
        <v>46</v>
      </c>
      <c r="C29" s="50" t="s">
        <v>47</v>
      </c>
      <c r="D29" s="261">
        <v>13</v>
      </c>
      <c r="E29" s="33">
        <f t="shared" si="3"/>
        <v>0.13</v>
      </c>
      <c r="G29" s="90">
        <f t="shared" si="0"/>
        <v>13</v>
      </c>
      <c r="H29" s="261">
        <v>0.76</v>
      </c>
      <c r="I29" s="261">
        <v>23.06</v>
      </c>
      <c r="J29" s="262">
        <f t="shared" si="1"/>
        <v>23.236598145908911</v>
      </c>
      <c r="Q29" s="56">
        <v>8</v>
      </c>
      <c r="R29" s="90">
        <f t="shared" si="2"/>
        <v>13</v>
      </c>
      <c r="S29" s="90">
        <f>SUM(R29:$R$32)</f>
        <v>56.4</v>
      </c>
      <c r="T29" s="56">
        <f t="shared" si="4"/>
        <v>-0.18619339995440834</v>
      </c>
      <c r="U29" s="56">
        <f t="shared" si="5"/>
        <v>2.0794415416798357</v>
      </c>
      <c r="Z29" s="24">
        <v>1000</v>
      </c>
      <c r="AA29" s="24">
        <f>LN(-LN(1-AB28/100))</f>
        <v>-0.36651292058166435</v>
      </c>
    </row>
    <row r="30" spans="2:28" x14ac:dyDescent="0.2">
      <c r="B30" s="32" t="s">
        <v>48</v>
      </c>
      <c r="C30" s="50" t="s">
        <v>49</v>
      </c>
      <c r="D30" s="261">
        <v>16</v>
      </c>
      <c r="E30" s="33">
        <f t="shared" si="3"/>
        <v>0.16</v>
      </c>
      <c r="G30" s="90">
        <f t="shared" si="0"/>
        <v>16</v>
      </c>
      <c r="H30" s="261">
        <v>0.81</v>
      </c>
      <c r="I30" s="261">
        <v>22.15</v>
      </c>
      <c r="J30" s="262">
        <f t="shared" si="1"/>
        <v>22.330880129045266</v>
      </c>
      <c r="Q30" s="56">
        <v>4.75</v>
      </c>
      <c r="R30" s="90">
        <f t="shared" si="2"/>
        <v>16</v>
      </c>
      <c r="S30" s="90">
        <f>SUM(R30:$R$32)</f>
        <v>43.4</v>
      </c>
      <c r="T30" s="56">
        <f t="shared" si="4"/>
        <v>-0.56359157956803918</v>
      </c>
      <c r="U30" s="56">
        <f t="shared" si="5"/>
        <v>1.5581446180465499</v>
      </c>
    </row>
    <row r="31" spans="2:28" x14ac:dyDescent="0.2">
      <c r="B31" s="32" t="s">
        <v>50</v>
      </c>
      <c r="C31" s="50" t="s">
        <v>51</v>
      </c>
      <c r="D31" s="261">
        <v>9.4</v>
      </c>
      <c r="E31" s="33">
        <f t="shared" si="3"/>
        <v>9.4E-2</v>
      </c>
      <c r="G31" s="90">
        <f t="shared" si="0"/>
        <v>9.4</v>
      </c>
      <c r="H31" s="261">
        <v>0.81</v>
      </c>
      <c r="I31" s="261">
        <v>19.95</v>
      </c>
      <c r="J31" s="262">
        <f t="shared" si="1"/>
        <v>20.112914608327454</v>
      </c>
      <c r="Q31" s="56">
        <v>2</v>
      </c>
      <c r="R31" s="90">
        <f t="shared" si="2"/>
        <v>9.4</v>
      </c>
      <c r="S31" s="90">
        <f>SUM(R31:$R$32)</f>
        <v>27.4</v>
      </c>
      <c r="T31" s="56">
        <f t="shared" si="4"/>
        <v>-1.1387930383381062</v>
      </c>
      <c r="U31" s="56">
        <f t="shared" si="5"/>
        <v>0.69314718055994529</v>
      </c>
      <c r="Z31" s="24">
        <v>0.01</v>
      </c>
      <c r="AA31" s="24">
        <f>LN(-LN(1-AB31/100))</f>
        <v>-0.67172699209212194</v>
      </c>
      <c r="AB31" s="24">
        <v>40</v>
      </c>
    </row>
    <row r="32" spans="2:28" x14ac:dyDescent="0.2">
      <c r="B32" s="51" t="s">
        <v>52</v>
      </c>
      <c r="C32" s="52" t="s">
        <v>53</v>
      </c>
      <c r="D32" s="261">
        <v>18</v>
      </c>
      <c r="E32" s="33">
        <f t="shared" si="3"/>
        <v>0.18</v>
      </c>
      <c r="G32" s="91">
        <f t="shared" si="0"/>
        <v>18</v>
      </c>
      <c r="H32" s="263">
        <v>0.78</v>
      </c>
      <c r="I32" s="263">
        <v>20.86</v>
      </c>
      <c r="J32" s="264">
        <f t="shared" si="1"/>
        <v>21.023987099375127</v>
      </c>
      <c r="Q32" s="43">
        <v>1</v>
      </c>
      <c r="R32" s="91">
        <f t="shared" si="2"/>
        <v>18</v>
      </c>
      <c r="S32" s="91">
        <f>SUM(R32:$R$32)</f>
        <v>18</v>
      </c>
      <c r="T32" s="43">
        <f t="shared" si="4"/>
        <v>-1.6172133694853985</v>
      </c>
      <c r="U32" s="43">
        <f t="shared" si="5"/>
        <v>0</v>
      </c>
      <c r="Z32" s="24">
        <v>1000</v>
      </c>
      <c r="AA32" s="24">
        <f>LN(-LN(1-AB31/100))</f>
        <v>-0.67172699209212194</v>
      </c>
    </row>
    <row r="33" spans="2:28" x14ac:dyDescent="0.2">
      <c r="B33" s="35" t="s">
        <v>37</v>
      </c>
      <c r="C33" s="53"/>
      <c r="D33" s="286">
        <f>D25-SUM(D26:D32)</f>
        <v>0</v>
      </c>
      <c r="E33" s="37">
        <f t="shared" si="3"/>
        <v>0</v>
      </c>
      <c r="G33" s="93">
        <f>SUM(G26:G32)</f>
        <v>100</v>
      </c>
      <c r="H33" s="93">
        <f>SUMPRODUCT(H26:H32,$G$26:$G$32)/$G$33</f>
        <v>0.81780000000000019</v>
      </c>
      <c r="I33" s="93">
        <f>SUMPRODUCT(I26:I32,$G$26:$G$32)/$G$33</f>
        <v>25.642299999999999</v>
      </c>
      <c r="J33" s="93">
        <f>SUMPRODUCT(J26:J32,$G$26:$G$32)/$G$33</f>
        <v>25.855203669803021</v>
      </c>
    </row>
    <row r="34" spans="2:28" ht="16.149999999999999" customHeight="1" x14ac:dyDescent="0.2">
      <c r="B34" s="38"/>
      <c r="C34" s="39"/>
      <c r="D34" s="39"/>
      <c r="E34" s="40"/>
      <c r="Z34" s="24">
        <v>0.01</v>
      </c>
      <c r="AA34" s="24">
        <f>LN(-LN(1-AB34/100))</f>
        <v>-1.0309304331587228</v>
      </c>
      <c r="AB34" s="24">
        <v>30</v>
      </c>
    </row>
    <row r="35" spans="2:28" x14ac:dyDescent="0.2">
      <c r="B35" s="41" t="s">
        <v>38</v>
      </c>
      <c r="C35" s="42"/>
      <c r="D35" s="54">
        <f>SUM(D26:D32)</f>
        <v>100</v>
      </c>
      <c r="E35" s="44">
        <f>D35/D25</f>
        <v>1</v>
      </c>
      <c r="Z35" s="24">
        <v>1000</v>
      </c>
      <c r="AA35" s="24">
        <f>LN(-LN(1-AB34/100))</f>
        <v>-1.0309304331587228</v>
      </c>
    </row>
    <row r="36" spans="2:28" x14ac:dyDescent="0.2">
      <c r="B36" s="35" t="s">
        <v>39</v>
      </c>
      <c r="C36" s="45"/>
      <c r="D36" s="55">
        <f>SUM(D26:D32)+D33</f>
        <v>100</v>
      </c>
      <c r="E36" s="47">
        <f>D36/D25</f>
        <v>1</v>
      </c>
    </row>
    <row r="37" spans="2:28" x14ac:dyDescent="0.2">
      <c r="Q37" s="24" t="s">
        <v>124</v>
      </c>
      <c r="Z37" s="24">
        <v>0.01</v>
      </c>
      <c r="AA37" s="24">
        <f>LN(-LN(1-AB37/100))</f>
        <v>-1.4999399867595158</v>
      </c>
      <c r="AB37" s="24">
        <v>20</v>
      </c>
    </row>
    <row r="38" spans="2:28" ht="28.5" x14ac:dyDescent="0.2">
      <c r="B38" s="25" t="s">
        <v>54</v>
      </c>
      <c r="C38" s="26" t="s">
        <v>31</v>
      </c>
      <c r="D38" s="27" t="s">
        <v>32</v>
      </c>
      <c r="E38" s="27" t="s">
        <v>33</v>
      </c>
      <c r="F38" s="15"/>
      <c r="G38" s="86" t="s">
        <v>112</v>
      </c>
      <c r="H38" s="27" t="s">
        <v>15</v>
      </c>
      <c r="I38" s="27" t="s">
        <v>17</v>
      </c>
      <c r="J38" s="88" t="s">
        <v>109</v>
      </c>
      <c r="K38" s="86" t="s">
        <v>72</v>
      </c>
      <c r="L38" s="86" t="s">
        <v>113</v>
      </c>
      <c r="M38" s="86" t="s">
        <v>21</v>
      </c>
      <c r="N38" s="86" t="s">
        <v>111</v>
      </c>
      <c r="O38" s="27" t="s">
        <v>73</v>
      </c>
      <c r="Q38" s="86" t="s">
        <v>117</v>
      </c>
      <c r="R38" s="102" t="s">
        <v>118</v>
      </c>
      <c r="S38" s="86" t="s">
        <v>119</v>
      </c>
      <c r="T38" s="88" t="s">
        <v>120</v>
      </c>
      <c r="U38" s="102" t="s">
        <v>121</v>
      </c>
      <c r="Z38" s="24">
        <v>1000</v>
      </c>
      <c r="AA38" s="24">
        <f>LN(-LN(1-AB37/100))</f>
        <v>-1.4999399867595158</v>
      </c>
    </row>
    <row r="39" spans="2:28" x14ac:dyDescent="0.2">
      <c r="B39" s="29" t="s">
        <v>34</v>
      </c>
      <c r="C39" s="48"/>
      <c r="D39" s="265">
        <v>50</v>
      </c>
      <c r="E39" s="30" t="s">
        <v>16</v>
      </c>
      <c r="G39" s="89"/>
      <c r="H39" s="96" t="s">
        <v>16</v>
      </c>
      <c r="I39" s="49" t="s">
        <v>16</v>
      </c>
      <c r="J39" s="89"/>
      <c r="K39" s="49" t="s">
        <v>16</v>
      </c>
      <c r="L39" s="49"/>
      <c r="M39" s="49" t="s">
        <v>16</v>
      </c>
      <c r="N39" s="49"/>
      <c r="O39" s="49" t="s">
        <v>16</v>
      </c>
      <c r="Q39" s="89"/>
      <c r="R39" s="89"/>
      <c r="S39" s="89"/>
      <c r="T39" s="89"/>
      <c r="U39" s="89"/>
    </row>
    <row r="40" spans="2:28" x14ac:dyDescent="0.2">
      <c r="B40" s="32" t="s">
        <v>36</v>
      </c>
      <c r="C40" s="50" t="s">
        <v>41</v>
      </c>
      <c r="D40" s="261">
        <v>4.3</v>
      </c>
      <c r="E40" s="33">
        <f>D40/$D$39</f>
        <v>8.5999999999999993E-2</v>
      </c>
      <c r="G40" s="90">
        <f>D40/$D$54*100</f>
        <v>8.9958158995815882</v>
      </c>
      <c r="H40" s="97">
        <v>0.72</v>
      </c>
      <c r="I40" s="261">
        <v>32.47</v>
      </c>
      <c r="J40" s="90">
        <f>I40*100/(100-H40)</f>
        <v>32.705479452054796</v>
      </c>
      <c r="K40" s="287"/>
      <c r="L40" s="287"/>
      <c r="M40" s="261">
        <v>0.52</v>
      </c>
      <c r="N40" s="261">
        <f>M40*100/(100-H40)</f>
        <v>0.52377115229653504</v>
      </c>
      <c r="O40" s="268">
        <v>0.5</v>
      </c>
      <c r="Q40" s="56">
        <v>50</v>
      </c>
      <c r="R40" s="90">
        <f>G40</f>
        <v>8.9958158995815882</v>
      </c>
      <c r="S40" s="56">
        <f>SUM(R40:$R$51)</f>
        <v>99.999999999999972</v>
      </c>
      <c r="T40" s="56" t="s">
        <v>122</v>
      </c>
      <c r="U40" s="56">
        <f>LN(Q40)</f>
        <v>3.912023005428146</v>
      </c>
      <c r="Z40" s="24">
        <v>0.01</v>
      </c>
      <c r="AA40" s="24">
        <f>LN(-LN(1-AB40/100))</f>
        <v>-1.8169607947796103</v>
      </c>
      <c r="AB40" s="24">
        <v>15</v>
      </c>
    </row>
    <row r="41" spans="2:28" x14ac:dyDescent="0.2">
      <c r="B41" s="32" t="s">
        <v>42</v>
      </c>
      <c r="C41" s="52" t="s">
        <v>43</v>
      </c>
      <c r="D41" s="261">
        <v>6.7</v>
      </c>
      <c r="E41" s="33">
        <f t="shared" ref="E41:E51" si="6">D41/$D$39</f>
        <v>0.13400000000000001</v>
      </c>
      <c r="G41" s="90">
        <f t="shared" ref="G41:G51" si="7">D41/$D$54*100</f>
        <v>14.01673640167364</v>
      </c>
      <c r="H41" s="97">
        <v>0.8</v>
      </c>
      <c r="I41" s="261">
        <v>28.02</v>
      </c>
      <c r="J41" s="90">
        <f t="shared" ref="J41:J51" si="8">I41*100/(100-H41)</f>
        <v>28.245967741935484</v>
      </c>
      <c r="K41" s="287"/>
      <c r="L41" s="287"/>
      <c r="M41" s="261">
        <v>0.55000000000000004</v>
      </c>
      <c r="N41" s="261">
        <f t="shared" ref="N41:N51" si="9">M41*100/(100-H41)</f>
        <v>0.55443548387096775</v>
      </c>
      <c r="O41" s="268">
        <v>1</v>
      </c>
      <c r="Q41" s="56">
        <v>31.5</v>
      </c>
      <c r="R41" s="90">
        <f t="shared" ref="R41:R51" si="10">G41</f>
        <v>14.01673640167364</v>
      </c>
      <c r="S41" s="282">
        <f>SUM(R41:$R$51)</f>
        <v>91.004184100418385</v>
      </c>
      <c r="T41" s="56">
        <f>LN(-LN(1-S41/100))</f>
        <v>0.87896703483539784</v>
      </c>
      <c r="U41" s="56">
        <f t="shared" ref="U41:U51" si="11">LN(Q41)</f>
        <v>3.4499875458315872</v>
      </c>
      <c r="Z41" s="24">
        <v>1000</v>
      </c>
      <c r="AA41" s="24">
        <f>LN(-LN(1-AB40/100))</f>
        <v>-1.8169607947796103</v>
      </c>
    </row>
    <row r="42" spans="2:28" x14ac:dyDescent="0.2">
      <c r="B42" s="32" t="s">
        <v>44</v>
      </c>
      <c r="C42" s="52" t="s">
        <v>45</v>
      </c>
      <c r="D42" s="261">
        <v>7.9</v>
      </c>
      <c r="E42" s="33">
        <f t="shared" si="6"/>
        <v>0.158</v>
      </c>
      <c r="G42" s="90">
        <f t="shared" si="7"/>
        <v>16.527196652719663</v>
      </c>
      <c r="H42" s="97">
        <v>0.75</v>
      </c>
      <c r="I42" s="261">
        <v>27.46</v>
      </c>
      <c r="J42" s="90">
        <f t="shared" si="8"/>
        <v>27.66750629722922</v>
      </c>
      <c r="K42" s="287"/>
      <c r="L42" s="287"/>
      <c r="M42" s="261">
        <v>0.46</v>
      </c>
      <c r="N42" s="261">
        <f t="shared" si="9"/>
        <v>0.46347607052896728</v>
      </c>
      <c r="O42" s="268">
        <v>1</v>
      </c>
      <c r="Q42" s="56">
        <v>16</v>
      </c>
      <c r="R42" s="90">
        <f t="shared" si="10"/>
        <v>16.527196652719663</v>
      </c>
      <c r="S42" s="282">
        <f>SUM(R42:$R$51)</f>
        <v>76.987447698744759</v>
      </c>
      <c r="T42" s="56">
        <f t="shared" ref="T42:T51" si="12">LN(-LN(1-S42/100))</f>
        <v>0.3846706384542809</v>
      </c>
      <c r="U42" s="56">
        <f t="shared" si="11"/>
        <v>2.7725887222397811</v>
      </c>
    </row>
    <row r="43" spans="2:28" x14ac:dyDescent="0.2">
      <c r="B43" s="32" t="s">
        <v>46</v>
      </c>
      <c r="C43" s="52" t="s">
        <v>47</v>
      </c>
      <c r="D43" s="261">
        <v>6.3</v>
      </c>
      <c r="E43" s="33">
        <f t="shared" si="6"/>
        <v>0.126</v>
      </c>
      <c r="G43" s="90">
        <f t="shared" si="7"/>
        <v>13.17991631799163</v>
      </c>
      <c r="H43" s="97">
        <v>0.68</v>
      </c>
      <c r="I43" s="261">
        <v>24.79</v>
      </c>
      <c r="J43" s="90">
        <f t="shared" si="8"/>
        <v>24.95972613773661</v>
      </c>
      <c r="K43" s="287"/>
      <c r="L43" s="287"/>
      <c r="M43" s="261">
        <v>0.52</v>
      </c>
      <c r="N43" s="261">
        <f t="shared" si="9"/>
        <v>0.52356020942408377</v>
      </c>
      <c r="O43" s="268">
        <v>2.5</v>
      </c>
      <c r="Q43" s="56">
        <v>8</v>
      </c>
      <c r="R43" s="90">
        <f t="shared" si="10"/>
        <v>13.17991631799163</v>
      </c>
      <c r="S43" s="282">
        <f>SUM(R43:$R$51)</f>
        <v>60.4602510460251</v>
      </c>
      <c r="T43" s="56">
        <f t="shared" si="12"/>
        <v>-7.4870413196084465E-2</v>
      </c>
      <c r="U43" s="56">
        <f t="shared" si="11"/>
        <v>2.0794415416798357</v>
      </c>
      <c r="Z43" s="24">
        <v>0.01</v>
      </c>
      <c r="AA43" s="24">
        <f>LN(-LN(1-AB43/100))</f>
        <v>-2.2503673273124454</v>
      </c>
      <c r="AB43" s="24">
        <v>10</v>
      </c>
    </row>
    <row r="44" spans="2:28" x14ac:dyDescent="0.2">
      <c r="B44" s="32" t="s">
        <v>48</v>
      </c>
      <c r="C44" s="52" t="s">
        <v>49</v>
      </c>
      <c r="D44" s="261">
        <v>8.4</v>
      </c>
      <c r="E44" s="33">
        <f t="shared" si="6"/>
        <v>0.16800000000000001</v>
      </c>
      <c r="G44" s="90">
        <f t="shared" si="7"/>
        <v>17.573221757322173</v>
      </c>
      <c r="H44" s="97">
        <v>0.78</v>
      </c>
      <c r="I44" s="261">
        <v>25.74</v>
      </c>
      <c r="J44" s="90">
        <f t="shared" si="8"/>
        <v>25.942350332594234</v>
      </c>
      <c r="K44" s="287"/>
      <c r="L44" s="287"/>
      <c r="M44" s="261">
        <v>0.65</v>
      </c>
      <c r="N44" s="261">
        <f t="shared" si="9"/>
        <v>0.65510985688369283</v>
      </c>
      <c r="O44" s="268">
        <v>4</v>
      </c>
      <c r="Q44" s="56">
        <v>4.75</v>
      </c>
      <c r="R44" s="90">
        <f t="shared" si="10"/>
        <v>17.573221757322173</v>
      </c>
      <c r="S44" s="282">
        <f>SUM(R44:$R$51)</f>
        <v>47.280334728033473</v>
      </c>
      <c r="T44" s="56">
        <f t="shared" si="12"/>
        <v>-0.44600332261647491</v>
      </c>
      <c r="U44" s="56">
        <f t="shared" si="11"/>
        <v>1.5581446180465499</v>
      </c>
      <c r="Z44" s="24">
        <v>1000</v>
      </c>
      <c r="AA44" s="24">
        <f>LN(-LN(1-AB43/100))</f>
        <v>-2.2503673273124454</v>
      </c>
    </row>
    <row r="45" spans="2:28" x14ac:dyDescent="0.2">
      <c r="B45" s="32" t="s">
        <v>50</v>
      </c>
      <c r="C45" s="52" t="s">
        <v>51</v>
      </c>
      <c r="D45" s="261">
        <v>4</v>
      </c>
      <c r="E45" s="33">
        <f t="shared" si="6"/>
        <v>0.08</v>
      </c>
      <c r="G45" s="90">
        <f t="shared" si="7"/>
        <v>8.3682008368200833</v>
      </c>
      <c r="H45" s="97">
        <v>0.84</v>
      </c>
      <c r="I45" s="261">
        <v>23.71</v>
      </c>
      <c r="J45" s="90">
        <f t="shared" si="8"/>
        <v>23.91085114965712</v>
      </c>
      <c r="K45" s="287"/>
      <c r="L45" s="287"/>
      <c r="M45" s="261">
        <v>0.68</v>
      </c>
      <c r="N45" s="261">
        <f t="shared" si="9"/>
        <v>0.68576038725292454</v>
      </c>
      <c r="O45" s="268">
        <v>5.5</v>
      </c>
      <c r="Q45" s="56">
        <v>2</v>
      </c>
      <c r="R45" s="90">
        <f t="shared" si="10"/>
        <v>8.3682008368200833</v>
      </c>
      <c r="S45" s="282">
        <f>SUM(R45:$R$51)</f>
        <v>29.707112970711297</v>
      </c>
      <c r="T45" s="56">
        <f t="shared" si="12"/>
        <v>-1.04270586941636</v>
      </c>
      <c r="U45" s="56">
        <f t="shared" si="11"/>
        <v>0.69314718055994529</v>
      </c>
    </row>
    <row r="46" spans="2:28" x14ac:dyDescent="0.2">
      <c r="B46" s="32" t="s">
        <v>52</v>
      </c>
      <c r="C46" s="52" t="s">
        <v>55</v>
      </c>
      <c r="D46" s="261">
        <v>2.2000000000000002</v>
      </c>
      <c r="E46" s="33">
        <f t="shared" si="6"/>
        <v>4.4000000000000004E-2</v>
      </c>
      <c r="G46" s="90">
        <f t="shared" si="7"/>
        <v>4.6025104602510458</v>
      </c>
      <c r="H46" s="97">
        <v>0.67</v>
      </c>
      <c r="I46" s="261">
        <v>21.44</v>
      </c>
      <c r="J46" s="90">
        <f t="shared" si="8"/>
        <v>21.584616933454143</v>
      </c>
      <c r="K46" s="287"/>
      <c r="L46" s="287"/>
      <c r="M46" s="261">
        <v>0.71</v>
      </c>
      <c r="N46" s="261">
        <f t="shared" si="9"/>
        <v>0.71478908688211018</v>
      </c>
      <c r="O46" s="268">
        <v>6</v>
      </c>
      <c r="Q46" s="56">
        <v>1</v>
      </c>
      <c r="R46" s="90">
        <f t="shared" si="10"/>
        <v>4.6025104602510458</v>
      </c>
      <c r="S46" s="282">
        <f>SUM(R46:$R$51)</f>
        <v>21.338912133891213</v>
      </c>
      <c r="T46" s="56">
        <f t="shared" si="12"/>
        <v>-1.427026405095978</v>
      </c>
      <c r="U46" s="56">
        <f t="shared" si="11"/>
        <v>0</v>
      </c>
      <c r="Z46" s="24">
        <v>0.01</v>
      </c>
      <c r="AA46" s="24">
        <f>LN(-LN(1-AB46/100))</f>
        <v>-2.4843275102530673</v>
      </c>
      <c r="AB46" s="24">
        <v>8</v>
      </c>
    </row>
    <row r="47" spans="2:28" x14ac:dyDescent="0.2">
      <c r="B47" s="32" t="s">
        <v>56</v>
      </c>
      <c r="C47" s="52" t="s">
        <v>57</v>
      </c>
      <c r="D47" s="261">
        <v>3.4</v>
      </c>
      <c r="E47" s="33">
        <f t="shared" si="6"/>
        <v>6.8000000000000005E-2</v>
      </c>
      <c r="G47" s="90">
        <f t="shared" si="7"/>
        <v>7.1129707112970699</v>
      </c>
      <c r="H47" s="98">
        <v>0.85</v>
      </c>
      <c r="I47" s="266">
        <v>20.51</v>
      </c>
      <c r="J47" s="90">
        <f t="shared" si="8"/>
        <v>20.685829551185073</v>
      </c>
      <c r="K47" s="288"/>
      <c r="L47" s="288"/>
      <c r="M47" s="266">
        <v>0.92</v>
      </c>
      <c r="N47" s="261">
        <f t="shared" si="9"/>
        <v>0.9278870398386283</v>
      </c>
      <c r="O47" s="269">
        <v>7</v>
      </c>
      <c r="Q47" s="56">
        <v>0.5</v>
      </c>
      <c r="R47" s="90">
        <f t="shared" si="10"/>
        <v>7.1129707112970699</v>
      </c>
      <c r="S47" s="282">
        <f>SUM(R47:$R$51)</f>
        <v>16.736401673640167</v>
      </c>
      <c r="T47" s="56">
        <f t="shared" si="12"/>
        <v>-1.6974021402945971</v>
      </c>
      <c r="U47" s="56">
        <f t="shared" si="11"/>
        <v>-0.69314718055994529</v>
      </c>
      <c r="Z47" s="24">
        <v>1000</v>
      </c>
      <c r="AA47" s="24">
        <f>LN(-LN(1-AB46/100))</f>
        <v>-2.4843275102530673</v>
      </c>
    </row>
    <row r="48" spans="2:28" x14ac:dyDescent="0.2">
      <c r="B48" s="32" t="s">
        <v>58</v>
      </c>
      <c r="C48" s="52" t="s">
        <v>59</v>
      </c>
      <c r="D48" s="261">
        <v>1.5</v>
      </c>
      <c r="E48" s="33">
        <f t="shared" si="6"/>
        <v>0.03</v>
      </c>
      <c r="G48" s="90">
        <f t="shared" si="7"/>
        <v>3.1380753138075312</v>
      </c>
      <c r="H48" s="99">
        <v>0.81</v>
      </c>
      <c r="I48" s="266">
        <v>21.36</v>
      </c>
      <c r="J48" s="90">
        <f t="shared" si="8"/>
        <v>21.534428873878415</v>
      </c>
      <c r="K48" s="288"/>
      <c r="L48" s="288"/>
      <c r="M48" s="266">
        <v>0.97</v>
      </c>
      <c r="N48" s="261">
        <f t="shared" si="9"/>
        <v>0.97792116140739993</v>
      </c>
      <c r="O48" s="269">
        <v>6.5</v>
      </c>
      <c r="Q48" s="56">
        <v>0.25</v>
      </c>
      <c r="R48" s="90">
        <f t="shared" si="10"/>
        <v>3.1380753138075312</v>
      </c>
      <c r="S48" s="282">
        <f>SUM(R48:$R$51)</f>
        <v>9.6234309623430949</v>
      </c>
      <c r="T48" s="56">
        <f t="shared" si="12"/>
        <v>-2.2908033288792011</v>
      </c>
      <c r="U48" s="56">
        <f t="shared" si="11"/>
        <v>-1.3862943611198906</v>
      </c>
    </row>
    <row r="49" spans="2:28" x14ac:dyDescent="0.2">
      <c r="B49" s="32" t="s">
        <v>60</v>
      </c>
      <c r="C49" s="52" t="s">
        <v>61</v>
      </c>
      <c r="D49" s="261">
        <v>1.7</v>
      </c>
      <c r="E49" s="33">
        <f t="shared" si="6"/>
        <v>3.4000000000000002E-2</v>
      </c>
      <c r="G49" s="90">
        <f t="shared" si="7"/>
        <v>3.556485355648535</v>
      </c>
      <c r="H49" s="99">
        <v>0.84</v>
      </c>
      <c r="I49" s="266">
        <v>25.53</v>
      </c>
      <c r="J49" s="90">
        <f t="shared" si="8"/>
        <v>25.746268656716421</v>
      </c>
      <c r="K49" s="288"/>
      <c r="L49" s="288"/>
      <c r="M49" s="266">
        <v>1.04</v>
      </c>
      <c r="N49" s="261">
        <f t="shared" si="9"/>
        <v>1.0488100040338846</v>
      </c>
      <c r="O49" s="269">
        <v>6</v>
      </c>
      <c r="Q49" s="56">
        <v>0.15</v>
      </c>
      <c r="R49" s="90">
        <f t="shared" si="10"/>
        <v>3.556485355648535</v>
      </c>
      <c r="S49" s="282">
        <f>SUM(R49:$R$51)</f>
        <v>6.4853556485355632</v>
      </c>
      <c r="T49" s="56">
        <f t="shared" si="12"/>
        <v>-2.7022847849322287</v>
      </c>
      <c r="U49" s="56">
        <f t="shared" si="11"/>
        <v>-1.8971199848858813</v>
      </c>
      <c r="Z49" s="24">
        <v>0.01</v>
      </c>
      <c r="AA49" s="24">
        <f>LN(-LN(1-AB49/100))</f>
        <v>-2.7826325333778006</v>
      </c>
      <c r="AB49" s="24">
        <v>6</v>
      </c>
    </row>
    <row r="50" spans="2:28" x14ac:dyDescent="0.2">
      <c r="B50" s="32" t="s">
        <v>62</v>
      </c>
      <c r="C50" s="52" t="s">
        <v>63</v>
      </c>
      <c r="D50" s="261">
        <v>0.5</v>
      </c>
      <c r="E50" s="33">
        <f t="shared" si="6"/>
        <v>0.01</v>
      </c>
      <c r="G50" s="90">
        <f t="shared" si="7"/>
        <v>1.0460251046025104</v>
      </c>
      <c r="H50" s="99">
        <v>0.72</v>
      </c>
      <c r="I50" s="266">
        <v>28.9</v>
      </c>
      <c r="J50" s="90">
        <f t="shared" si="8"/>
        <v>29.109589041095891</v>
      </c>
      <c r="K50" s="288"/>
      <c r="L50" s="288"/>
      <c r="M50" s="266">
        <v>1.49</v>
      </c>
      <c r="N50" s="261">
        <f t="shared" si="9"/>
        <v>1.5008058017727639</v>
      </c>
      <c r="O50" s="269">
        <v>5</v>
      </c>
      <c r="Q50" s="56">
        <v>7.3999999999999996E-2</v>
      </c>
      <c r="R50" s="90">
        <f t="shared" si="10"/>
        <v>1.0460251046025104</v>
      </c>
      <c r="S50" s="282">
        <f>SUM(R50:$R$51)</f>
        <v>2.9288702928870292</v>
      </c>
      <c r="T50" s="56">
        <f t="shared" si="12"/>
        <v>-3.5157271310471936</v>
      </c>
      <c r="U50" s="56">
        <f t="shared" si="11"/>
        <v>-2.6036901857779675</v>
      </c>
      <c r="Z50" s="24">
        <v>1000</v>
      </c>
      <c r="AA50" s="24">
        <f>LN(-LN(1-AB49/100))</f>
        <v>-2.7826325333778006</v>
      </c>
    </row>
    <row r="51" spans="2:28" x14ac:dyDescent="0.2">
      <c r="B51" s="51" t="s">
        <v>64</v>
      </c>
      <c r="C51" s="52"/>
      <c r="D51" s="261">
        <v>0.9</v>
      </c>
      <c r="E51" s="33">
        <f t="shared" si="6"/>
        <v>1.8000000000000002E-2</v>
      </c>
      <c r="G51" s="91">
        <f t="shared" si="7"/>
        <v>1.8828451882845185</v>
      </c>
      <c r="H51" s="100">
        <v>0.97</v>
      </c>
      <c r="I51" s="267">
        <v>28.38</v>
      </c>
      <c r="J51" s="91">
        <f t="shared" si="8"/>
        <v>28.657982429566797</v>
      </c>
      <c r="K51" s="289"/>
      <c r="L51" s="289"/>
      <c r="M51" s="267">
        <v>0.65</v>
      </c>
      <c r="N51" s="263">
        <f t="shared" si="9"/>
        <v>0.65636675754821772</v>
      </c>
      <c r="O51" s="270">
        <v>0</v>
      </c>
      <c r="Q51" s="43">
        <v>3.7999999999999999E-2</v>
      </c>
      <c r="R51" s="91">
        <f t="shared" si="10"/>
        <v>1.8828451882845185</v>
      </c>
      <c r="S51" s="283">
        <f>SUM(R51:$R$51)</f>
        <v>1.8828451882845185</v>
      </c>
      <c r="T51" s="43">
        <f t="shared" si="12"/>
        <v>-3.9628972273663687</v>
      </c>
      <c r="U51" s="43">
        <f t="shared" si="11"/>
        <v>-3.2701691192557512</v>
      </c>
    </row>
    <row r="52" spans="2:28" x14ac:dyDescent="0.2">
      <c r="B52" s="35" t="s">
        <v>37</v>
      </c>
      <c r="C52" s="53"/>
      <c r="D52" s="36">
        <f>D39-SUM(D40:D51)</f>
        <v>2.1999999999999957</v>
      </c>
      <c r="E52" s="37">
        <f>D52/D39</f>
        <v>4.3999999999999914E-2</v>
      </c>
      <c r="G52" s="93">
        <f>SUM(G40:G51)</f>
        <v>99.999999999999972</v>
      </c>
      <c r="H52" s="93">
        <f>SUMPRODUCT($G$40:$G$51,H40:H51)/$G$52</f>
        <v>0.77023012552301284</v>
      </c>
      <c r="I52" s="93">
        <f>SUMPRODUCT($G$40:$G$51,I40:I51)/$G$52</f>
        <v>26.022112970711298</v>
      </c>
      <c r="J52" s="93">
        <f t="shared" ref="J52:O52" si="13">SUMPRODUCT($G$40:$G$51,J40:J51)/$G$52</f>
        <v>26.223755727721699</v>
      </c>
      <c r="K52" s="93">
        <f t="shared" si="13"/>
        <v>0</v>
      </c>
      <c r="L52" s="93">
        <f t="shared" si="13"/>
        <v>0</v>
      </c>
      <c r="M52" s="93">
        <f t="shared" si="13"/>
        <v>0.63292887029288725</v>
      </c>
      <c r="N52" s="93">
        <f t="shared" si="13"/>
        <v>0.6378897903438564</v>
      </c>
      <c r="O52" s="101">
        <f t="shared" si="13"/>
        <v>3.0868200836820083</v>
      </c>
      <c r="Z52" s="24">
        <v>0.01</v>
      </c>
      <c r="AA52" s="24">
        <f>LN(-LN(1-AB52/100))</f>
        <v>-3.1985342614453849</v>
      </c>
      <c r="AB52" s="24">
        <v>4</v>
      </c>
    </row>
    <row r="53" spans="2:28" x14ac:dyDescent="0.2">
      <c r="B53" s="38"/>
      <c r="C53" s="39"/>
      <c r="D53" s="39"/>
      <c r="E53" s="40"/>
      <c r="Z53" s="24">
        <v>1000</v>
      </c>
      <c r="AA53" s="24">
        <f>LN(-LN(1-AB52/100))</f>
        <v>-3.1985342614453849</v>
      </c>
    </row>
    <row r="54" spans="2:28" x14ac:dyDescent="0.2">
      <c r="B54" s="41" t="s">
        <v>38</v>
      </c>
      <c r="C54" s="42"/>
      <c r="D54" s="94">
        <f>SUM(D40:D51)</f>
        <v>47.800000000000004</v>
      </c>
      <c r="E54" s="44">
        <f>D54/D39</f>
        <v>0.95600000000000007</v>
      </c>
    </row>
    <row r="55" spans="2:28" x14ac:dyDescent="0.2">
      <c r="B55" s="35" t="s">
        <v>39</v>
      </c>
      <c r="C55" s="45"/>
      <c r="D55" s="95">
        <f>SUM(D40:D51)+D52</f>
        <v>50</v>
      </c>
      <c r="E55" s="47">
        <f>D55/D39</f>
        <v>1</v>
      </c>
      <c r="Z55" s="24">
        <v>0.01</v>
      </c>
      <c r="AA55" s="24">
        <f>LN(-LN(1-AB55/100))</f>
        <v>-3.9019386579358333</v>
      </c>
      <c r="AB55" s="24">
        <v>2</v>
      </c>
    </row>
    <row r="56" spans="2:28" x14ac:dyDescent="0.2">
      <c r="Z56" s="24">
        <v>1000</v>
      </c>
      <c r="AA56" s="24">
        <f>LN(-LN(1-AB55/100))</f>
        <v>-3.9019386579358333</v>
      </c>
    </row>
    <row r="58" spans="2:28" x14ac:dyDescent="0.2">
      <c r="Z58" s="24">
        <v>0.01</v>
      </c>
      <c r="AA58" s="24">
        <f>LN(-LN(1-AB58/100))</f>
        <v>-4.6001492267765789</v>
      </c>
      <c r="AB58" s="24">
        <v>1</v>
      </c>
    </row>
    <row r="59" spans="2:28" x14ac:dyDescent="0.2">
      <c r="Z59" s="24">
        <v>1000</v>
      </c>
      <c r="AA59" s="24">
        <f>LN(-LN(1-AB58/100))</f>
        <v>-4.6001492267765789</v>
      </c>
    </row>
  </sheetData>
  <mergeCells count="5">
    <mergeCell ref="C2:D2"/>
    <mergeCell ref="C3:D3"/>
    <mergeCell ref="C4:D4"/>
    <mergeCell ref="C5:D5"/>
    <mergeCell ref="C6:D6"/>
  </mergeCells>
  <pageMargins left="0.7" right="0.7" top="0.75" bottom="0.75" header="0.3" footer="0.3"/>
  <pageSetup paperSize="9" scale="68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V92"/>
  <sheetViews>
    <sheetView showGridLines="0" view="pageBreakPreview" topLeftCell="AW79" zoomScale="70" zoomScaleNormal="100" zoomScaleSheetLayoutView="70" workbookViewId="0">
      <selection activeCell="AX88" sqref="AX88"/>
    </sheetView>
  </sheetViews>
  <sheetFormatPr defaultRowHeight="15" x14ac:dyDescent="0.25"/>
  <cols>
    <col min="1" max="1" width="6" customWidth="1"/>
    <col min="2" max="2" width="5.140625" customWidth="1"/>
    <col min="3" max="3" width="7.7109375" bestFit="1" customWidth="1"/>
    <col min="4" max="4" width="13.7109375" customWidth="1"/>
    <col min="7" max="7" width="12.7109375" customWidth="1"/>
    <col min="9" max="9" width="12.28515625" customWidth="1"/>
    <col min="11" max="11" width="9.28515625" bestFit="1" customWidth="1"/>
    <col min="12" max="13" width="8" customWidth="1"/>
    <col min="14" max="15" width="7.140625" style="119" customWidth="1"/>
    <col min="20" max="20" width="9.5703125" customWidth="1"/>
    <col min="21" max="22" width="10.7109375" bestFit="1" customWidth="1"/>
    <col min="24" max="24" width="10.5703125" customWidth="1"/>
    <col min="25" max="25" width="10.7109375" bestFit="1" customWidth="1"/>
    <col min="27" max="27" width="14.28515625" bestFit="1" customWidth="1"/>
    <col min="28" max="28" width="23.28515625" bestFit="1" customWidth="1"/>
    <col min="41" max="42" width="11.5703125" bestFit="1" customWidth="1"/>
    <col min="44" max="44" width="11.5703125" bestFit="1" customWidth="1"/>
    <col min="45" max="45" width="10.7109375" bestFit="1" customWidth="1"/>
    <col min="47" max="47" width="10.42578125" bestFit="1" customWidth="1"/>
    <col min="48" max="48" width="23.28515625" bestFit="1" customWidth="1"/>
  </cols>
  <sheetData>
    <row r="1" spans="2:48" x14ac:dyDescent="0.25">
      <c r="B1" s="12" t="s">
        <v>7</v>
      </c>
      <c r="C1" s="12"/>
      <c r="D1" t="str">
        <f>'Raw Coal analysis'!C1</f>
        <v>PR8_B35_4AL_01-08</v>
      </c>
    </row>
    <row r="2" spans="2:48" x14ac:dyDescent="0.25">
      <c r="B2" s="12" t="s">
        <v>8</v>
      </c>
      <c r="C2" s="12"/>
      <c r="D2" t="str">
        <f>'Raw Coal analysis'!C2</f>
        <v>#19_20</v>
      </c>
    </row>
    <row r="3" spans="2:48" x14ac:dyDescent="0.25">
      <c r="B3" s="12" t="s">
        <v>9</v>
      </c>
      <c r="C3" s="12"/>
    </row>
    <row r="4" spans="2:48" x14ac:dyDescent="0.25">
      <c r="B4" s="12" t="s">
        <v>10</v>
      </c>
      <c r="C4" s="12"/>
    </row>
    <row r="5" spans="2:48" x14ac:dyDescent="0.25">
      <c r="B5" s="12" t="s">
        <v>11</v>
      </c>
      <c r="C5" s="12"/>
      <c r="D5" s="103">
        <f>'Raw Coal analysis'!C5</f>
        <v>43668</v>
      </c>
      <c r="Q5" s="149">
        <v>1</v>
      </c>
      <c r="R5" s="109">
        <v>2</v>
      </c>
      <c r="S5" s="109">
        <v>3</v>
      </c>
      <c r="T5" s="109">
        <v>4</v>
      </c>
      <c r="U5" s="109">
        <v>5</v>
      </c>
      <c r="V5" s="109">
        <v>6</v>
      </c>
      <c r="W5" s="109">
        <v>7</v>
      </c>
      <c r="X5" s="109">
        <v>8</v>
      </c>
      <c r="Y5" s="109">
        <v>9</v>
      </c>
      <c r="Z5" s="109">
        <v>10</v>
      </c>
      <c r="AA5" s="109">
        <v>11</v>
      </c>
      <c r="AB5" s="109">
        <v>12</v>
      </c>
      <c r="AK5" s="149">
        <v>1</v>
      </c>
      <c r="AL5" s="109">
        <v>2</v>
      </c>
      <c r="AM5" s="109">
        <v>3</v>
      </c>
      <c r="AN5" s="109">
        <v>4</v>
      </c>
      <c r="AO5" s="109">
        <v>5</v>
      </c>
      <c r="AP5" s="109">
        <v>6</v>
      </c>
      <c r="AQ5" s="109">
        <v>7</v>
      </c>
      <c r="AR5" s="109">
        <v>8</v>
      </c>
      <c r="AS5" s="109">
        <v>9</v>
      </c>
      <c r="AT5" s="109">
        <v>10</v>
      </c>
      <c r="AU5" s="109">
        <v>11</v>
      </c>
      <c r="AV5" s="109">
        <v>12</v>
      </c>
    </row>
    <row r="6" spans="2:48" x14ac:dyDescent="0.25">
      <c r="B6" s="12"/>
      <c r="C6" s="12"/>
    </row>
    <row r="7" spans="2:48" x14ac:dyDescent="0.25">
      <c r="B7" s="57"/>
      <c r="C7" s="58"/>
      <c r="D7" s="59"/>
      <c r="E7" s="60"/>
      <c r="F7" s="61"/>
      <c r="G7" s="293" t="s">
        <v>65</v>
      </c>
      <c r="H7" s="293"/>
      <c r="I7" s="293"/>
      <c r="J7" s="293"/>
      <c r="K7" s="293"/>
      <c r="L7" s="293"/>
      <c r="M7" s="294"/>
      <c r="N7" s="120"/>
      <c r="O7" s="120"/>
      <c r="Q7" s="150"/>
      <c r="R7" s="304" t="s">
        <v>127</v>
      </c>
      <c r="S7" s="305"/>
      <c r="T7" s="306"/>
      <c r="U7" s="304" t="s">
        <v>131</v>
      </c>
      <c r="V7" s="305"/>
      <c r="W7" s="306"/>
      <c r="X7" s="304" t="s">
        <v>137</v>
      </c>
      <c r="Y7" s="305"/>
      <c r="Z7" s="306"/>
      <c r="AA7" s="16"/>
      <c r="AB7" s="16"/>
      <c r="AK7" s="150"/>
      <c r="AL7" s="304" t="s">
        <v>127</v>
      </c>
      <c r="AM7" s="305"/>
      <c r="AN7" s="306"/>
      <c r="AO7" s="304" t="s">
        <v>131</v>
      </c>
      <c r="AP7" s="305"/>
      <c r="AQ7" s="306"/>
      <c r="AR7" s="304" t="s">
        <v>137</v>
      </c>
      <c r="AS7" s="305"/>
      <c r="AT7" s="306"/>
      <c r="AU7" s="16"/>
      <c r="AV7" s="16"/>
    </row>
    <row r="8" spans="2:48" ht="60" x14ac:dyDescent="0.25">
      <c r="B8" s="295" t="s">
        <v>66</v>
      </c>
      <c r="C8" s="296"/>
      <c r="D8" s="62" t="s">
        <v>67</v>
      </c>
      <c r="E8" s="297" t="s">
        <v>68</v>
      </c>
      <c r="F8" s="298"/>
      <c r="G8" s="299" t="s">
        <v>69</v>
      </c>
      <c r="H8" s="300"/>
      <c r="I8" s="63" t="s">
        <v>125</v>
      </c>
      <c r="J8" s="63" t="s">
        <v>71</v>
      </c>
      <c r="K8" s="63" t="s">
        <v>72</v>
      </c>
      <c r="L8" s="111" t="s">
        <v>21</v>
      </c>
      <c r="M8" s="63" t="s">
        <v>73</v>
      </c>
      <c r="N8" s="121"/>
      <c r="O8" s="121"/>
      <c r="P8" s="121" t="s">
        <v>148</v>
      </c>
      <c r="Q8" s="108" t="s">
        <v>145</v>
      </c>
      <c r="R8" s="108" t="s">
        <v>126</v>
      </c>
      <c r="S8" s="108" t="s">
        <v>70</v>
      </c>
      <c r="T8" s="110" t="s">
        <v>129</v>
      </c>
      <c r="U8" s="79" t="s">
        <v>132</v>
      </c>
      <c r="V8" s="110" t="s">
        <v>129</v>
      </c>
      <c r="W8" s="127" t="s">
        <v>134</v>
      </c>
      <c r="X8" s="79" t="s">
        <v>132</v>
      </c>
      <c r="Y8" s="110" t="s">
        <v>129</v>
      </c>
      <c r="Z8" s="127" t="s">
        <v>134</v>
      </c>
      <c r="AA8" s="132" t="s">
        <v>141</v>
      </c>
      <c r="AB8" s="132" t="s">
        <v>143</v>
      </c>
      <c r="AJ8" s="121" t="s">
        <v>148</v>
      </c>
      <c r="AK8" s="108" t="s">
        <v>145</v>
      </c>
      <c r="AL8" s="108" t="s">
        <v>126</v>
      </c>
      <c r="AM8" s="108" t="s">
        <v>70</v>
      </c>
      <c r="AN8" s="110" t="s">
        <v>129</v>
      </c>
      <c r="AO8" s="79" t="s">
        <v>132</v>
      </c>
      <c r="AP8" s="110" t="s">
        <v>129</v>
      </c>
      <c r="AQ8" s="127" t="s">
        <v>134</v>
      </c>
      <c r="AR8" s="79" t="s">
        <v>132</v>
      </c>
      <c r="AS8" s="110" t="s">
        <v>129</v>
      </c>
      <c r="AT8" s="127" t="s">
        <v>134</v>
      </c>
      <c r="AU8" s="132" t="s">
        <v>141</v>
      </c>
      <c r="AV8" s="132" t="s">
        <v>143</v>
      </c>
    </row>
    <row r="9" spans="2:48" x14ac:dyDescent="0.25">
      <c r="B9" s="64"/>
      <c r="C9" s="64"/>
      <c r="D9" s="64"/>
      <c r="E9" s="64" t="s">
        <v>74</v>
      </c>
      <c r="F9" s="64" t="s">
        <v>75</v>
      </c>
      <c r="G9" s="64" t="s">
        <v>76</v>
      </c>
      <c r="H9" s="64" t="s">
        <v>77</v>
      </c>
      <c r="I9" s="64" t="s">
        <v>77</v>
      </c>
      <c r="J9" s="64" t="s">
        <v>78</v>
      </c>
      <c r="K9" s="64" t="s">
        <v>79</v>
      </c>
      <c r="L9" s="64"/>
      <c r="M9" s="64"/>
      <c r="N9" s="122"/>
      <c r="O9" s="122"/>
      <c r="Q9" s="16"/>
      <c r="R9" s="64" t="s">
        <v>78</v>
      </c>
      <c r="S9" s="64" t="s">
        <v>78</v>
      </c>
      <c r="T9" s="16" t="s">
        <v>130</v>
      </c>
      <c r="U9" s="126" t="s">
        <v>136</v>
      </c>
      <c r="V9" s="126" t="s">
        <v>133</v>
      </c>
      <c r="W9" s="64" t="s">
        <v>135</v>
      </c>
      <c r="X9" s="128" t="s">
        <v>138</v>
      </c>
      <c r="Y9" s="128" t="s">
        <v>139</v>
      </c>
      <c r="Z9" s="128" t="s">
        <v>140</v>
      </c>
      <c r="AA9" s="128" t="s">
        <v>142</v>
      </c>
      <c r="AB9" s="128" t="s">
        <v>144</v>
      </c>
      <c r="AK9" s="16"/>
      <c r="AL9" s="64" t="s">
        <v>78</v>
      </c>
      <c r="AM9" s="64" t="s">
        <v>78</v>
      </c>
      <c r="AN9" s="16" t="s">
        <v>130</v>
      </c>
      <c r="AO9" s="126" t="s">
        <v>136</v>
      </c>
      <c r="AP9" s="126" t="s">
        <v>133</v>
      </c>
      <c r="AQ9" s="64" t="s">
        <v>135</v>
      </c>
      <c r="AR9" s="128" t="s">
        <v>138</v>
      </c>
      <c r="AS9" s="128" t="s">
        <v>139</v>
      </c>
      <c r="AT9" s="128" t="s">
        <v>140</v>
      </c>
      <c r="AU9" s="128" t="s">
        <v>142</v>
      </c>
      <c r="AV9" s="128" t="s">
        <v>144</v>
      </c>
    </row>
    <row r="10" spans="2:48" ht="22.15" customHeight="1" x14ac:dyDescent="0.25">
      <c r="B10" s="65" t="s">
        <v>80</v>
      </c>
      <c r="C10" s="66" t="s">
        <v>81</v>
      </c>
      <c r="D10" s="148">
        <f>Pretreatment!R40+Pretreatment!R41</f>
        <v>23.012552301255226</v>
      </c>
      <c r="E10" s="67"/>
      <c r="F10" s="67"/>
      <c r="G10" s="104"/>
      <c r="H10" s="67"/>
      <c r="I10" s="67"/>
      <c r="J10" s="67"/>
      <c r="K10" s="67"/>
      <c r="L10" s="67"/>
      <c r="M10" s="67"/>
      <c r="N10" s="122" t="s">
        <v>146</v>
      </c>
      <c r="O10" s="122"/>
      <c r="P10" s="137"/>
      <c r="Q10" s="301" t="s">
        <v>128</v>
      </c>
      <c r="R10" s="302"/>
      <c r="S10" s="302"/>
      <c r="T10" s="302"/>
      <c r="U10" s="302"/>
      <c r="V10" s="302"/>
      <c r="W10" s="302"/>
      <c r="X10" s="302"/>
      <c r="Y10" s="302"/>
      <c r="Z10" s="302"/>
      <c r="AA10" s="303"/>
      <c r="AB10" s="151">
        <f>D10</f>
        <v>23.012552301255226</v>
      </c>
      <c r="AJ10" s="137"/>
      <c r="AK10" s="301" t="s">
        <v>152</v>
      </c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152">
        <f>AB10+AB26+AB42+AB58+AB74</f>
        <v>90.376569037656893</v>
      </c>
    </row>
    <row r="11" spans="2:48" x14ac:dyDescent="0.25">
      <c r="B11" s="68"/>
      <c r="C11" s="69"/>
      <c r="D11" s="70"/>
      <c r="E11" s="275">
        <v>1.25</v>
      </c>
      <c r="F11" s="276">
        <v>1.3</v>
      </c>
      <c r="G11" s="284">
        <v>1.0000000000000001E-5</v>
      </c>
      <c r="H11" s="72">
        <f>G11/$G$25*100</f>
        <v>1.7643530055247079E-7</v>
      </c>
      <c r="I11" s="72">
        <v>4</v>
      </c>
      <c r="J11" s="72"/>
      <c r="K11" s="72"/>
      <c r="L11" s="72"/>
      <c r="M11" s="105"/>
      <c r="N11" s="125">
        <f>1/Q11</f>
        <v>0.76923076923076916</v>
      </c>
      <c r="O11" s="144"/>
      <c r="P11" s="144">
        <v>7</v>
      </c>
      <c r="Q11" s="280">
        <v>1.3</v>
      </c>
      <c r="R11" s="113">
        <f t="shared" ref="R11:R24" si="0">H11</f>
        <v>1.7643530055247079E-7</v>
      </c>
      <c r="S11" s="146">
        <f>I11*100/(100-J11)</f>
        <v>4</v>
      </c>
      <c r="T11" s="116">
        <f>R11*S11</f>
        <v>7.0574120220988316E-7</v>
      </c>
      <c r="U11" s="116">
        <f>SUM($R$11:R11)</f>
        <v>1.7643530055247079E-7</v>
      </c>
      <c r="V11" s="116">
        <f>SUM($T$11:T11)</f>
        <v>7.0574120220988316E-7</v>
      </c>
      <c r="W11" s="116">
        <f>V11/U11</f>
        <v>4</v>
      </c>
      <c r="X11" s="116">
        <f>SUM(R11:$R$24)</f>
        <v>99.999999999999986</v>
      </c>
      <c r="Y11" s="129">
        <f>SUM(T11:$T$24)</f>
        <v>3158.0872305581215</v>
      </c>
      <c r="Z11" s="113">
        <f>Y11/X11</f>
        <v>31.58087230558122</v>
      </c>
      <c r="AA11" s="133">
        <f>U11-R11/2</f>
        <v>8.8217650276235394E-8</v>
      </c>
      <c r="AB11" s="67"/>
      <c r="AJ11" s="144">
        <v>7</v>
      </c>
      <c r="AK11" s="170">
        <v>1.3</v>
      </c>
      <c r="AL11" s="156">
        <f>(R11*$AB$10+R27*$AB$26+R43*$AB$42+R59*$AB$58+R75*$AB$74)/$AV$10</f>
        <v>6.562465280739743</v>
      </c>
      <c r="AM11" s="156">
        <f>((R11*S11*$AB$10+R27*S27*$AB$26+R43*S43*$AB$42+R59*S59*$AB$58+R75*S75*$AB$74)/AL11)/$AV$10</f>
        <v>3.6154897926622578</v>
      </c>
      <c r="AN11" s="157">
        <f>AL11*AM11</f>
        <v>23.726526237214998</v>
      </c>
      <c r="AO11" s="157">
        <f>SUM($AL$11:AL11)</f>
        <v>6.562465280739743</v>
      </c>
      <c r="AP11" s="157">
        <f>SUM($AN$11:AN11)</f>
        <v>23.726526237214998</v>
      </c>
      <c r="AQ11" s="157">
        <f>AP11/AO11</f>
        <v>3.6154897926622578</v>
      </c>
      <c r="AR11" s="157">
        <f>SUM(AL11:$AL$24)</f>
        <v>100</v>
      </c>
      <c r="AS11" s="158">
        <f>SUM(AN11:$AN$24)</f>
        <v>2670.4952391511151</v>
      </c>
      <c r="AT11" s="156">
        <f>AS11/AR11</f>
        <v>26.704952391511153</v>
      </c>
      <c r="AU11" s="159">
        <f>AO11-AL11/2</f>
        <v>3.2812326403698715</v>
      </c>
      <c r="AV11" s="160"/>
    </row>
    <row r="12" spans="2:48" x14ac:dyDescent="0.25">
      <c r="B12" s="68"/>
      <c r="C12" s="69"/>
      <c r="D12" s="70"/>
      <c r="E12" s="277">
        <f>F11</f>
        <v>1.3</v>
      </c>
      <c r="F12" s="276">
        <v>1.325</v>
      </c>
      <c r="G12" s="284">
        <v>1.0000000000000001E-5</v>
      </c>
      <c r="H12" s="72">
        <f t="shared" ref="H12:H24" si="1">G12/$G$25*100</f>
        <v>1.7643530055247079E-7</v>
      </c>
      <c r="I12" s="72">
        <v>8</v>
      </c>
      <c r="J12" s="72"/>
      <c r="K12" s="72"/>
      <c r="L12" s="72"/>
      <c r="M12" s="105"/>
      <c r="N12" s="125">
        <f t="shared" ref="N12:N24" si="2">1/Q12</f>
        <v>0.75471698113207553</v>
      </c>
      <c r="O12" s="144"/>
      <c r="P12" s="144">
        <v>14</v>
      </c>
      <c r="Q12" s="276">
        <v>1.325</v>
      </c>
      <c r="R12" s="114">
        <f t="shared" si="0"/>
        <v>1.7643530055247079E-7</v>
      </c>
      <c r="S12" s="146">
        <f t="shared" ref="S12:S24" si="3">I12*100/(100-J12)</f>
        <v>8</v>
      </c>
      <c r="T12" s="117">
        <f t="shared" ref="T12:T24" si="4">R12*S12</f>
        <v>1.4114824044197663E-6</v>
      </c>
      <c r="U12" s="117">
        <f>SUM($R$11:R12)</f>
        <v>3.5287060110494158E-7</v>
      </c>
      <c r="V12" s="117">
        <f>SUM($T$11:T12)</f>
        <v>2.1172236066296497E-6</v>
      </c>
      <c r="W12" s="117">
        <f t="shared" ref="W12:W24" si="5">V12/U12</f>
        <v>6.0000000000000009</v>
      </c>
      <c r="X12" s="117">
        <f>SUM(R12:$R$24)</f>
        <v>99.999999823564679</v>
      </c>
      <c r="Y12" s="130">
        <f>SUM(T12:$T$24)</f>
        <v>3158.0872298523805</v>
      </c>
      <c r="Z12" s="114">
        <f t="shared" ref="Z12:Z24" si="6">Y12/X12</f>
        <v>31.580872354243617</v>
      </c>
      <c r="AA12" s="114">
        <f t="shared" ref="AA12:AA24" si="7">U12-R12/2</f>
        <v>2.6465295082870621E-7</v>
      </c>
      <c r="AB12" s="134"/>
      <c r="AJ12" s="144">
        <v>14</v>
      </c>
      <c r="AK12" s="171">
        <v>1.325</v>
      </c>
      <c r="AL12" s="161">
        <f t="shared" ref="AL12:AL24" si="8">(R12*$AB$10+R28*$AB$26+R44*$AB$42+R60*$AB$58+R76*$AB$74)/$AV$10</f>
        <v>4.2841614515595596</v>
      </c>
      <c r="AM12" s="161">
        <f t="shared" ref="AM12:AM24" si="9">((R12*S12*$AB$10+R28*S28*$AB$26+R44*S44*$AB$42+R60*S60*$AB$58+R76*S76*$AB$74)/AL12)/$AV$10</f>
        <v>6.8770650680501388</v>
      </c>
      <c r="AN12" s="162">
        <f t="shared" ref="AN12:AN24" si="10">AL12*AM12</f>
        <v>29.462457064407225</v>
      </c>
      <c r="AO12" s="162">
        <f>SUM($AL$11:AL12)</f>
        <v>10.846626732299303</v>
      </c>
      <c r="AP12" s="162">
        <f>SUM($AN$11:AN12)</f>
        <v>53.188983301622223</v>
      </c>
      <c r="AQ12" s="162">
        <f t="shared" ref="AQ12:AQ24" si="11">AP12/AO12</f>
        <v>4.9037350149825842</v>
      </c>
      <c r="AR12" s="162">
        <f>SUM(AL12:$AL$24)</f>
        <v>93.437534719260256</v>
      </c>
      <c r="AS12" s="163">
        <f>SUM(AN12:$AN$24)</f>
        <v>2646.7687129138999</v>
      </c>
      <c r="AT12" s="161">
        <f t="shared" ref="AT12:AT24" si="12">AS12/AR12</f>
        <v>28.326611151142906</v>
      </c>
      <c r="AU12" s="161">
        <f t="shared" ref="AU12:AU24" si="13">AO12-AL12/2</f>
        <v>8.7045460065195233</v>
      </c>
      <c r="AV12" s="164"/>
    </row>
    <row r="13" spans="2:48" x14ac:dyDescent="0.25">
      <c r="B13" s="68"/>
      <c r="C13" s="69"/>
      <c r="D13" s="70"/>
      <c r="E13" s="277">
        <f t="shared" ref="E13:E24" si="14">F12</f>
        <v>1.325</v>
      </c>
      <c r="F13" s="276">
        <v>1.35</v>
      </c>
      <c r="G13" s="284">
        <v>93.9</v>
      </c>
      <c r="H13" s="72">
        <f t="shared" si="1"/>
        <v>1.6567274721877006</v>
      </c>
      <c r="I13" s="72">
        <v>11</v>
      </c>
      <c r="J13" s="72">
        <v>0.94</v>
      </c>
      <c r="K13" s="72">
        <v>23.59</v>
      </c>
      <c r="L13" s="72">
        <v>1.03</v>
      </c>
      <c r="M13" s="105">
        <v>4.5</v>
      </c>
      <c r="N13" s="125">
        <f t="shared" si="2"/>
        <v>0.7407407407407407</v>
      </c>
      <c r="O13" s="144"/>
      <c r="P13" s="144">
        <v>21</v>
      </c>
      <c r="Q13" s="276">
        <v>1.35</v>
      </c>
      <c r="R13" s="114">
        <f t="shared" si="0"/>
        <v>1.6567274721877006</v>
      </c>
      <c r="S13" s="147">
        <f t="shared" si="3"/>
        <v>11.10438118312134</v>
      </c>
      <c r="T13" s="117">
        <f t="shared" si="4"/>
        <v>18.396933367721285</v>
      </c>
      <c r="U13" s="117">
        <f>SUM($R$11:R13)</f>
        <v>1.6567278250583017</v>
      </c>
      <c r="V13" s="117">
        <f>SUM($T$11:T13)</f>
        <v>18.396935484944891</v>
      </c>
      <c r="W13" s="117">
        <f t="shared" si="5"/>
        <v>11.10438009592643</v>
      </c>
      <c r="X13" s="117">
        <f>SUM(R13:$R$24)</f>
        <v>99.999999647129385</v>
      </c>
      <c r="Y13" s="130">
        <f>SUM(T13:$T$24)</f>
        <v>3158.0872284408979</v>
      </c>
      <c r="Z13" s="114">
        <f t="shared" si="6"/>
        <v>31.580872395848598</v>
      </c>
      <c r="AA13" s="114">
        <f t="shared" si="7"/>
        <v>0.82836408896445146</v>
      </c>
      <c r="AB13" s="135">
        <f>SUM(R12:R15)</f>
        <v>6.5228132378601451</v>
      </c>
      <c r="AJ13" s="144">
        <v>21</v>
      </c>
      <c r="AK13" s="171">
        <v>1.35</v>
      </c>
      <c r="AL13" s="161">
        <f t="shared" si="8"/>
        <v>5.2410371292078226</v>
      </c>
      <c r="AM13" s="161">
        <f t="shared" si="9"/>
        <v>10.922829180617544</v>
      </c>
      <c r="AN13" s="162">
        <f t="shared" si="10"/>
        <v>57.246953291611206</v>
      </c>
      <c r="AO13" s="162">
        <f>SUM($AL$11:AL13)</f>
        <v>16.087663861507124</v>
      </c>
      <c r="AP13" s="162">
        <f>SUM($AN$11:AN13)</f>
        <v>110.43593659323344</v>
      </c>
      <c r="AQ13" s="162">
        <f t="shared" si="11"/>
        <v>6.8646347626315691</v>
      </c>
      <c r="AR13" s="162">
        <f>SUM(AL13:$AL$24)</f>
        <v>89.153373267700701</v>
      </c>
      <c r="AS13" s="163">
        <f>SUM(AN13:$AN$24)</f>
        <v>2617.3062558494926</v>
      </c>
      <c r="AT13" s="161">
        <f t="shared" si="12"/>
        <v>29.357344090509184</v>
      </c>
      <c r="AU13" s="161">
        <f t="shared" si="13"/>
        <v>13.467145296903213</v>
      </c>
      <c r="AV13" s="165">
        <f>SUM(AL12:AL15)</f>
        <v>22.075053165931145</v>
      </c>
    </row>
    <row r="14" spans="2:48" x14ac:dyDescent="0.25">
      <c r="B14" s="68"/>
      <c r="C14" s="69"/>
      <c r="D14" s="70"/>
      <c r="E14" s="277">
        <f t="shared" si="14"/>
        <v>1.35</v>
      </c>
      <c r="F14" s="276">
        <v>1.375</v>
      </c>
      <c r="G14" s="284">
        <v>96.9</v>
      </c>
      <c r="H14" s="72">
        <f t="shared" si="1"/>
        <v>1.7096580623534419</v>
      </c>
      <c r="I14" s="72">
        <v>15</v>
      </c>
      <c r="J14" s="72">
        <v>1.05</v>
      </c>
      <c r="K14" s="72">
        <v>19.88</v>
      </c>
      <c r="L14" s="72">
        <v>1.43</v>
      </c>
      <c r="M14" s="105">
        <v>4</v>
      </c>
      <c r="N14" s="125">
        <f t="shared" si="2"/>
        <v>0.72727272727272729</v>
      </c>
      <c r="O14" s="144"/>
      <c r="P14" s="144">
        <v>28</v>
      </c>
      <c r="Q14" s="276">
        <v>1.375</v>
      </c>
      <c r="R14" s="114">
        <f t="shared" si="0"/>
        <v>1.7096580623534419</v>
      </c>
      <c r="S14" s="147">
        <f t="shared" si="3"/>
        <v>15.159171298635675</v>
      </c>
      <c r="T14" s="117">
        <f t="shared" si="4"/>
        <v>25.916999429309378</v>
      </c>
      <c r="U14" s="117">
        <f>SUM($R$11:R14)</f>
        <v>3.3663858874117434</v>
      </c>
      <c r="V14" s="117">
        <f>SUM($T$11:T14)</f>
        <v>44.313934914254268</v>
      </c>
      <c r="W14" s="117">
        <f t="shared" si="5"/>
        <v>13.163652770753854</v>
      </c>
      <c r="X14" s="117">
        <f>SUM(R14:$R$24)</f>
        <v>98.343272174941688</v>
      </c>
      <c r="Y14" s="130">
        <f>SUM(T14:$T$24)</f>
        <v>3139.6902950731769</v>
      </c>
      <c r="Z14" s="114">
        <f t="shared" si="6"/>
        <v>31.925827010189561</v>
      </c>
      <c r="AA14" s="114">
        <f t="shared" si="7"/>
        <v>2.5115568562350226</v>
      </c>
      <c r="AB14" s="135">
        <f>SUM(R13:R16)</f>
        <v>18.174600309910012</v>
      </c>
      <c r="AJ14" s="144">
        <v>28</v>
      </c>
      <c r="AK14" s="171">
        <v>1.375</v>
      </c>
      <c r="AL14" s="161">
        <f t="shared" si="8"/>
        <v>5.9433646201286718</v>
      </c>
      <c r="AM14" s="161">
        <f t="shared" si="9"/>
        <v>13.886148153992705</v>
      </c>
      <c r="AN14" s="162">
        <f t="shared" si="10"/>
        <v>82.530441648305313</v>
      </c>
      <c r="AO14" s="162">
        <f>SUM($AL$11:AL14)</f>
        <v>22.031028481635797</v>
      </c>
      <c r="AP14" s="162">
        <f>SUM($AN$11:AN14)</f>
        <v>192.96637824153873</v>
      </c>
      <c r="AQ14" s="162">
        <f t="shared" si="11"/>
        <v>8.7588456618077526</v>
      </c>
      <c r="AR14" s="162">
        <f>SUM(AL14:$AL$24)</f>
        <v>83.912336138492876</v>
      </c>
      <c r="AS14" s="163">
        <f>SUM(AN14:$AN$24)</f>
        <v>2560.0593025578814</v>
      </c>
      <c r="AT14" s="161">
        <f t="shared" si="12"/>
        <v>30.508735906632833</v>
      </c>
      <c r="AU14" s="161">
        <f t="shared" si="13"/>
        <v>19.059346171571462</v>
      </c>
      <c r="AV14" s="165">
        <f>SUM(AL13:AL16)</f>
        <v>27.927857014401336</v>
      </c>
    </row>
    <row r="15" spans="2:48" x14ac:dyDescent="0.25">
      <c r="B15" s="68"/>
      <c r="C15" s="69"/>
      <c r="D15" s="70"/>
      <c r="E15" s="277">
        <f t="shared" si="14"/>
        <v>1.375</v>
      </c>
      <c r="F15" s="276">
        <v>1.4</v>
      </c>
      <c r="G15" s="284">
        <v>178.9</v>
      </c>
      <c r="H15" s="72">
        <f t="shared" si="1"/>
        <v>3.1564275268837023</v>
      </c>
      <c r="I15" s="72">
        <v>18.059999999999999</v>
      </c>
      <c r="J15" s="72">
        <v>1.01</v>
      </c>
      <c r="K15" s="72">
        <v>22.14</v>
      </c>
      <c r="L15" s="72">
        <v>0.86</v>
      </c>
      <c r="M15" s="105">
        <v>3.5</v>
      </c>
      <c r="N15" s="125">
        <f t="shared" si="2"/>
        <v>0.7142857142857143</v>
      </c>
      <c r="O15" s="144"/>
      <c r="P15" s="144">
        <v>35</v>
      </c>
      <c r="Q15" s="276">
        <v>1.4</v>
      </c>
      <c r="R15" s="114">
        <f t="shared" si="0"/>
        <v>3.1564275268837023</v>
      </c>
      <c r="S15" s="147">
        <f t="shared" si="3"/>
        <v>18.244267097686635</v>
      </c>
      <c r="T15" s="117">
        <f t="shared" si="4"/>
        <v>57.586706874956725</v>
      </c>
      <c r="U15" s="117">
        <f>SUM($R$11:R15)</f>
        <v>6.5228134142954453</v>
      </c>
      <c r="V15" s="117">
        <f>SUM($T$11:T15)</f>
        <v>101.90064178921099</v>
      </c>
      <c r="W15" s="117">
        <f t="shared" si="5"/>
        <v>15.622191731850677</v>
      </c>
      <c r="X15" s="117">
        <f>SUM(R15:$R$24)</f>
        <v>96.633614112588248</v>
      </c>
      <c r="Y15" s="130">
        <f>SUM(T15:$T$24)</f>
        <v>3113.7732956438672</v>
      </c>
      <c r="Z15" s="114">
        <f t="shared" si="6"/>
        <v>32.222465487175057</v>
      </c>
      <c r="AA15" s="114">
        <f t="shared" si="7"/>
        <v>4.9445996508535943</v>
      </c>
      <c r="AB15" s="135">
        <f>SUM(R14:R17)</f>
        <v>28.159073968174336</v>
      </c>
      <c r="AJ15" s="144">
        <v>35</v>
      </c>
      <c r="AK15" s="171">
        <v>1.4</v>
      </c>
      <c r="AL15" s="161">
        <f t="shared" si="8"/>
        <v>6.6064899650350917</v>
      </c>
      <c r="AM15" s="161">
        <f t="shared" si="9"/>
        <v>16.544103651690108</v>
      </c>
      <c r="AN15" s="162">
        <f t="shared" si="10"/>
        <v>109.29845475539112</v>
      </c>
      <c r="AO15" s="162">
        <f>SUM($AL$11:AL15)</f>
        <v>28.637518446670889</v>
      </c>
      <c r="AP15" s="162">
        <f>SUM($AN$11:AN15)</f>
        <v>302.26483299692984</v>
      </c>
      <c r="AQ15" s="162">
        <f t="shared" si="11"/>
        <v>10.554854239895501</v>
      </c>
      <c r="AR15" s="162">
        <f>SUM(AL15:$AL$24)</f>
        <v>77.968971518364199</v>
      </c>
      <c r="AS15" s="163">
        <f>SUM(AN15:$AN$24)</f>
        <v>2477.528860909576</v>
      </c>
      <c r="AT15" s="161">
        <f t="shared" si="12"/>
        <v>31.775830983303894</v>
      </c>
      <c r="AU15" s="161">
        <f t="shared" si="13"/>
        <v>25.334273464153341</v>
      </c>
      <c r="AV15" s="165">
        <f>SUM(AL14:AL17)</f>
        <v>32.805535977531818</v>
      </c>
    </row>
    <row r="16" spans="2:48" x14ac:dyDescent="0.25">
      <c r="B16" s="68"/>
      <c r="C16" s="69"/>
      <c r="D16" s="70"/>
      <c r="E16" s="277">
        <f t="shared" si="14"/>
        <v>1.4</v>
      </c>
      <c r="F16" s="276">
        <v>1.425</v>
      </c>
      <c r="G16" s="284">
        <v>660.4</v>
      </c>
      <c r="H16" s="72">
        <f t="shared" si="1"/>
        <v>11.651787248485169</v>
      </c>
      <c r="I16" s="72">
        <v>19</v>
      </c>
      <c r="J16" s="72">
        <v>0.77</v>
      </c>
      <c r="K16" s="72">
        <v>21.69</v>
      </c>
      <c r="L16" s="72">
        <v>0.54</v>
      </c>
      <c r="M16" s="105">
        <v>3.5</v>
      </c>
      <c r="N16" s="125">
        <f t="shared" si="2"/>
        <v>0.70175438596491224</v>
      </c>
      <c r="O16" s="144"/>
      <c r="P16" s="144">
        <v>42</v>
      </c>
      <c r="Q16" s="276">
        <v>1.425</v>
      </c>
      <c r="R16" s="114">
        <f t="shared" si="0"/>
        <v>11.651787248485169</v>
      </c>
      <c r="S16" s="114">
        <f t="shared" si="3"/>
        <v>19.147435251436058</v>
      </c>
      <c r="T16" s="117">
        <f t="shared" si="4"/>
        <v>223.10184190387807</v>
      </c>
      <c r="U16" s="117">
        <f>SUM($R$11:R16)</f>
        <v>18.174600662780612</v>
      </c>
      <c r="V16" s="117">
        <f>SUM($T$11:T16)</f>
        <v>325.00248369308906</v>
      </c>
      <c r="W16" s="117">
        <f t="shared" si="5"/>
        <v>17.882235198633822</v>
      </c>
      <c r="X16" s="117">
        <f>SUM(R16:$R$24)</f>
        <v>93.477186585704544</v>
      </c>
      <c r="Y16" s="130">
        <f>SUM(T16:$T$24)</f>
        <v>3056.1865887689105</v>
      </c>
      <c r="Z16" s="114">
        <f t="shared" si="6"/>
        <v>32.694464825028149</v>
      </c>
      <c r="AA16" s="114">
        <f t="shared" si="7"/>
        <v>12.348707038538027</v>
      </c>
      <c r="AB16" s="135">
        <f>SUM(R15:R18)</f>
        <v>47.722220093432298</v>
      </c>
      <c r="AJ16" s="144">
        <v>42</v>
      </c>
      <c r="AK16" s="171">
        <v>1.425</v>
      </c>
      <c r="AL16" s="161">
        <f t="shared" si="8"/>
        <v>10.13696530002975</v>
      </c>
      <c r="AM16" s="161">
        <f t="shared" si="9"/>
        <v>18.726502929038652</v>
      </c>
      <c r="AN16" s="162">
        <f t="shared" si="10"/>
        <v>189.82991038257029</v>
      </c>
      <c r="AO16" s="162">
        <f>SUM($AL$11:AL16)</f>
        <v>38.774483746700639</v>
      </c>
      <c r="AP16" s="162">
        <f>SUM($AN$11:AN16)</f>
        <v>492.09474337950013</v>
      </c>
      <c r="AQ16" s="162">
        <f t="shared" si="11"/>
        <v>12.691200393386875</v>
      </c>
      <c r="AR16" s="162">
        <f>SUM(AL16:$AL$24)</f>
        <v>71.362481553329118</v>
      </c>
      <c r="AS16" s="163">
        <f>SUM(AN16:$AN$24)</f>
        <v>2368.2304061541849</v>
      </c>
      <c r="AT16" s="161">
        <f t="shared" si="12"/>
        <v>33.185931242937627</v>
      </c>
      <c r="AU16" s="161">
        <f t="shared" si="13"/>
        <v>33.706001096685767</v>
      </c>
      <c r="AV16" s="165">
        <f>SUM(AL15:AL18)</f>
        <v>43.522929105567727</v>
      </c>
    </row>
    <row r="17" spans="2:48" x14ac:dyDescent="0.25">
      <c r="B17" s="68"/>
      <c r="C17" s="69"/>
      <c r="D17" s="70"/>
      <c r="E17" s="277">
        <f t="shared" si="14"/>
        <v>1.425</v>
      </c>
      <c r="F17" s="276">
        <v>1.45</v>
      </c>
      <c r="G17" s="284">
        <v>659.8</v>
      </c>
      <c r="H17" s="72">
        <f t="shared" si="1"/>
        <v>11.641201130452021</v>
      </c>
      <c r="I17" s="72">
        <v>21.45</v>
      </c>
      <c r="J17" s="72">
        <v>1.03</v>
      </c>
      <c r="K17" s="72">
        <v>20.5</v>
      </c>
      <c r="L17" s="72">
        <v>0.64500000000000002</v>
      </c>
      <c r="M17" s="105">
        <v>2</v>
      </c>
      <c r="N17" s="125">
        <f t="shared" si="2"/>
        <v>0.68965517241379315</v>
      </c>
      <c r="O17" s="144"/>
      <c r="P17" s="144">
        <v>49</v>
      </c>
      <c r="Q17" s="276">
        <v>1.45</v>
      </c>
      <c r="R17" s="114">
        <f t="shared" si="0"/>
        <v>11.641201130452021</v>
      </c>
      <c r="S17" s="114">
        <f t="shared" si="3"/>
        <v>21.673234313428313</v>
      </c>
      <c r="T17" s="117">
        <f t="shared" si="4"/>
        <v>252.30247979003323</v>
      </c>
      <c r="U17" s="117">
        <f>SUM($R$11:R17)</f>
        <v>29.815801793232634</v>
      </c>
      <c r="V17" s="117">
        <f>SUM($T$11:T17)</f>
        <v>577.30496348312226</v>
      </c>
      <c r="W17" s="117">
        <f t="shared" si="5"/>
        <v>19.362382654896592</v>
      </c>
      <c r="X17" s="117">
        <f>SUM(R17:$R$24)</f>
        <v>81.825399337219366</v>
      </c>
      <c r="Y17" s="130">
        <f>SUM(T17:$T$24)</f>
        <v>2833.0847468650322</v>
      </c>
      <c r="Z17" s="114">
        <f t="shared" si="6"/>
        <v>34.623537065664721</v>
      </c>
      <c r="AA17" s="114">
        <f t="shared" si="7"/>
        <v>23.995201228006621</v>
      </c>
      <c r="AB17" s="135">
        <f>SUM(R16:R19)</f>
        <v>62.283425448027714</v>
      </c>
      <c r="AJ17" s="144">
        <v>49</v>
      </c>
      <c r="AK17" s="171">
        <v>1.45</v>
      </c>
      <c r="AL17" s="161">
        <f t="shared" si="8"/>
        <v>10.118716092338301</v>
      </c>
      <c r="AM17" s="161">
        <f t="shared" si="9"/>
        <v>21.484370994585806</v>
      </c>
      <c r="AN17" s="162">
        <f t="shared" si="10"/>
        <v>217.39425051668164</v>
      </c>
      <c r="AO17" s="162">
        <f>SUM($AL$11:AL17)</f>
        <v>48.893199839038942</v>
      </c>
      <c r="AP17" s="162">
        <f>SUM($AN$11:AN17)</f>
        <v>709.4889938961818</v>
      </c>
      <c r="AQ17" s="162">
        <f t="shared" si="11"/>
        <v>14.510995316974281</v>
      </c>
      <c r="AR17" s="162">
        <f>SUM(AL17:$AL$24)</f>
        <v>61.225516253299361</v>
      </c>
      <c r="AS17" s="163">
        <f>SUM(AN17:$AN$24)</f>
        <v>2178.4004957716147</v>
      </c>
      <c r="AT17" s="161">
        <f t="shared" si="12"/>
        <v>35.579944916417489</v>
      </c>
      <c r="AU17" s="161">
        <f t="shared" si="13"/>
        <v>43.833841792869791</v>
      </c>
      <c r="AV17" s="165">
        <f>SUM(AL16:AL19)</f>
        <v>50.136471812950958</v>
      </c>
    </row>
    <row r="18" spans="2:48" x14ac:dyDescent="0.25">
      <c r="B18" s="68"/>
      <c r="C18" s="69"/>
      <c r="D18" s="70"/>
      <c r="E18" s="277">
        <f t="shared" si="14"/>
        <v>1.45</v>
      </c>
      <c r="F18" s="276">
        <v>1.5</v>
      </c>
      <c r="G18" s="284">
        <v>1205.7</v>
      </c>
      <c r="H18" s="72">
        <f t="shared" si="1"/>
        <v>21.272804187611403</v>
      </c>
      <c r="I18" s="72">
        <v>25.61</v>
      </c>
      <c r="J18" s="72">
        <v>0.94</v>
      </c>
      <c r="K18" s="72">
        <v>19.510000000000002</v>
      </c>
      <c r="L18" s="72">
        <v>0.48</v>
      </c>
      <c r="M18" s="105">
        <v>1</v>
      </c>
      <c r="N18" s="125">
        <f t="shared" si="2"/>
        <v>0.66666666666666663</v>
      </c>
      <c r="O18" s="144"/>
      <c r="P18" s="144">
        <v>56</v>
      </c>
      <c r="Q18" s="276">
        <v>1.5</v>
      </c>
      <c r="R18" s="114">
        <f t="shared" si="0"/>
        <v>21.272804187611403</v>
      </c>
      <c r="S18" s="114">
        <f t="shared" si="3"/>
        <v>25.85301837270341</v>
      </c>
      <c r="T18" s="117">
        <f t="shared" si="4"/>
        <v>549.96619750123966</v>
      </c>
      <c r="U18" s="117">
        <f>SUM($R$11:R18)</f>
        <v>51.088605980844036</v>
      </c>
      <c r="V18" s="117">
        <f>SUM($T$11:T18)</f>
        <v>1127.2711609843618</v>
      </c>
      <c r="W18" s="117">
        <f t="shared" si="5"/>
        <v>22.065020944338126</v>
      </c>
      <c r="X18" s="117">
        <f>SUM(R18:$R$24)</f>
        <v>70.184198206767363</v>
      </c>
      <c r="Y18" s="130">
        <f>SUM(T18:$T$24)</f>
        <v>2580.7822670749993</v>
      </c>
      <c r="Z18" s="114">
        <f t="shared" si="6"/>
        <v>36.771557316532153</v>
      </c>
      <c r="AA18" s="114">
        <f t="shared" si="7"/>
        <v>40.452203887038337</v>
      </c>
      <c r="AB18" s="135"/>
      <c r="AJ18" s="144">
        <v>56</v>
      </c>
      <c r="AK18" s="171">
        <v>1.5</v>
      </c>
      <c r="AL18" s="161">
        <f t="shared" si="8"/>
        <v>16.660757748164585</v>
      </c>
      <c r="AM18" s="161">
        <f t="shared" si="9"/>
        <v>25.454133361970442</v>
      </c>
      <c r="AN18" s="162">
        <f t="shared" si="10"/>
        <v>424.08514963326371</v>
      </c>
      <c r="AO18" s="162">
        <f>SUM($AL$11:AL18)</f>
        <v>65.553957587203527</v>
      </c>
      <c r="AP18" s="162">
        <f>SUM($AN$11:AN18)</f>
        <v>1133.5741435294456</v>
      </c>
      <c r="AQ18" s="162">
        <f t="shared" si="11"/>
        <v>17.292230480844761</v>
      </c>
      <c r="AR18" s="162">
        <f>SUM(AL18:$AL$24)</f>
        <v>51.106800160961058</v>
      </c>
      <c r="AS18" s="163">
        <f>SUM(AN18:$AN$24)</f>
        <v>1961.0062452549334</v>
      </c>
      <c r="AT18" s="161">
        <f t="shared" si="12"/>
        <v>38.370749862615874</v>
      </c>
      <c r="AU18" s="161">
        <f t="shared" si="13"/>
        <v>57.223578713121235</v>
      </c>
      <c r="AV18" s="165"/>
    </row>
    <row r="19" spans="2:48" x14ac:dyDescent="0.25">
      <c r="B19" s="68"/>
      <c r="C19" s="69"/>
      <c r="D19" s="70"/>
      <c r="E19" s="277">
        <f t="shared" si="14"/>
        <v>1.5</v>
      </c>
      <c r="F19" s="276">
        <v>1.6</v>
      </c>
      <c r="G19" s="284">
        <v>1004.2</v>
      </c>
      <c r="H19" s="72">
        <f t="shared" si="1"/>
        <v>17.717632881479119</v>
      </c>
      <c r="I19" s="72">
        <v>31.03</v>
      </c>
      <c r="J19" s="72">
        <v>0.89</v>
      </c>
      <c r="K19" s="72">
        <v>19.059999999999999</v>
      </c>
      <c r="L19" s="72">
        <v>0.48</v>
      </c>
      <c r="M19" s="105">
        <v>1</v>
      </c>
      <c r="N19" s="125">
        <f t="shared" si="2"/>
        <v>0.625</v>
      </c>
      <c r="O19" s="144"/>
      <c r="P19" s="144">
        <v>63</v>
      </c>
      <c r="Q19" s="276">
        <v>1.6</v>
      </c>
      <c r="R19" s="114">
        <f t="shared" si="0"/>
        <v>17.717632881479119</v>
      </c>
      <c r="S19" s="114">
        <f t="shared" si="3"/>
        <v>31.308646957925536</v>
      </c>
      <c r="T19" s="117">
        <f t="shared" si="4"/>
        <v>554.71511281636265</v>
      </c>
      <c r="U19" s="117">
        <f>SUM($R$11:R19)</f>
        <v>68.806238862323156</v>
      </c>
      <c r="V19" s="117">
        <f>SUM($T$11:T19)</f>
        <v>1681.9862738007246</v>
      </c>
      <c r="W19" s="117">
        <f t="shared" si="5"/>
        <v>24.445258186053021</v>
      </c>
      <c r="X19" s="117">
        <f>SUM(R19:$R$24)</f>
        <v>48.911394019155964</v>
      </c>
      <c r="Y19" s="130">
        <f>SUM(T19:$T$24)</f>
        <v>2030.8160695737593</v>
      </c>
      <c r="Z19" s="114">
        <f t="shared" si="6"/>
        <v>41.520306470480023</v>
      </c>
      <c r="AA19" s="114">
        <f t="shared" si="7"/>
        <v>59.947422421583596</v>
      </c>
      <c r="AB19" s="135">
        <f>SUM(R18:R20)</f>
        <v>56.695719479530965</v>
      </c>
      <c r="AJ19" s="144">
        <v>63</v>
      </c>
      <c r="AK19" s="171">
        <v>1.6</v>
      </c>
      <c r="AL19" s="161">
        <f t="shared" si="8"/>
        <v>13.220032672418316</v>
      </c>
      <c r="AM19" s="161">
        <f t="shared" si="9"/>
        <v>31.438411138388254</v>
      </c>
      <c r="AN19" s="162">
        <f t="shared" si="10"/>
        <v>415.61682241841265</v>
      </c>
      <c r="AO19" s="162">
        <f>SUM($AL$11:AL19)</f>
        <v>78.77399025962184</v>
      </c>
      <c r="AP19" s="162">
        <f>SUM($AN$11:AN19)</f>
        <v>1549.1909659478583</v>
      </c>
      <c r="AQ19" s="162">
        <f t="shared" si="11"/>
        <v>19.666275135258019</v>
      </c>
      <c r="AR19" s="162">
        <f>SUM(AL19:$AL$24)</f>
        <v>34.44604241279648</v>
      </c>
      <c r="AS19" s="163">
        <f>SUM(AN19:$AN$24)</f>
        <v>1536.9210956216696</v>
      </c>
      <c r="AT19" s="161">
        <f t="shared" si="12"/>
        <v>44.618219916338298</v>
      </c>
      <c r="AU19" s="161">
        <f t="shared" si="13"/>
        <v>72.163973923412684</v>
      </c>
      <c r="AV19" s="165">
        <f>SUM(AL18:AL20)</f>
        <v>38.763483645272601</v>
      </c>
    </row>
    <row r="20" spans="2:48" x14ac:dyDescent="0.25">
      <c r="B20" s="68"/>
      <c r="C20" s="69"/>
      <c r="D20" s="70"/>
      <c r="E20" s="277">
        <f t="shared" si="14"/>
        <v>1.6</v>
      </c>
      <c r="F20" s="276">
        <v>1.7</v>
      </c>
      <c r="G20" s="284">
        <v>1003.5</v>
      </c>
      <c r="H20" s="72">
        <f t="shared" si="1"/>
        <v>17.705282410440443</v>
      </c>
      <c r="I20" s="72">
        <v>38.79</v>
      </c>
      <c r="J20" s="72">
        <v>1.17</v>
      </c>
      <c r="K20" s="72">
        <v>16.66</v>
      </c>
      <c r="L20" s="72">
        <v>0.54</v>
      </c>
      <c r="M20" s="105">
        <v>0.5</v>
      </c>
      <c r="N20" s="125">
        <f t="shared" si="2"/>
        <v>0.58823529411764708</v>
      </c>
      <c r="O20" s="144"/>
      <c r="P20" s="144">
        <v>70</v>
      </c>
      <c r="Q20" s="276">
        <v>1.7</v>
      </c>
      <c r="R20" s="114">
        <f t="shared" si="0"/>
        <v>17.705282410440443</v>
      </c>
      <c r="S20" s="114">
        <f t="shared" si="3"/>
        <v>39.249215825154309</v>
      </c>
      <c r="T20" s="117">
        <f t="shared" si="4"/>
        <v>694.91845057268529</v>
      </c>
      <c r="U20" s="117">
        <f>SUM($R$11:R20)</f>
        <v>86.511521272763602</v>
      </c>
      <c r="V20" s="117">
        <f>SUM($T$11:T20)</f>
        <v>2376.9047243734099</v>
      </c>
      <c r="W20" s="117">
        <f t="shared" si="5"/>
        <v>27.475007830219838</v>
      </c>
      <c r="X20" s="117">
        <f>SUM(R20:$R$24)</f>
        <v>31.19376113767683</v>
      </c>
      <c r="Y20" s="130">
        <f>SUM(T20:$T$24)</f>
        <v>1476.1009567573967</v>
      </c>
      <c r="Z20" s="114">
        <f t="shared" si="6"/>
        <v>47.320390453798609</v>
      </c>
      <c r="AA20" s="114">
        <f t="shared" si="7"/>
        <v>77.658880067543379</v>
      </c>
      <c r="AB20" s="135">
        <f>SUM(R20:R21)</f>
        <v>21.274568540616926</v>
      </c>
      <c r="AJ20" s="144">
        <v>70</v>
      </c>
      <c r="AK20" s="171">
        <v>1.7</v>
      </c>
      <c r="AL20" s="161">
        <f t="shared" si="8"/>
        <v>8.882693224689703</v>
      </c>
      <c r="AM20" s="161">
        <f t="shared" si="9"/>
        <v>39.010451129440298</v>
      </c>
      <c r="AN20" s="162">
        <f t="shared" si="10"/>
        <v>346.51786993956813</v>
      </c>
      <c r="AO20" s="162">
        <f>SUM($AL$11:AL20)</f>
        <v>87.656683484311543</v>
      </c>
      <c r="AP20" s="162">
        <f>SUM($AN$11:AN20)</f>
        <v>1895.7088358874264</v>
      </c>
      <c r="AQ20" s="162">
        <f t="shared" si="11"/>
        <v>21.626517916648229</v>
      </c>
      <c r="AR20" s="162">
        <f>SUM(AL20:$AL$24)</f>
        <v>21.226009740378156</v>
      </c>
      <c r="AS20" s="163">
        <f>SUM(AN20:$AN$24)</f>
        <v>1121.3042732032568</v>
      </c>
      <c r="AT20" s="161">
        <f t="shared" si="12"/>
        <v>52.826899022391572</v>
      </c>
      <c r="AU20" s="161">
        <f t="shared" si="13"/>
        <v>83.215336871966684</v>
      </c>
      <c r="AV20" s="165">
        <f>SUM(AL20:AL21)</f>
        <v>10.903569065499472</v>
      </c>
    </row>
    <row r="21" spans="2:48" x14ac:dyDescent="0.25">
      <c r="B21" s="68"/>
      <c r="C21" s="69"/>
      <c r="D21" s="70"/>
      <c r="E21" s="277">
        <f t="shared" si="14"/>
        <v>1.7</v>
      </c>
      <c r="F21" s="276">
        <v>1.8</v>
      </c>
      <c r="G21" s="284">
        <v>202.3</v>
      </c>
      <c r="H21" s="72">
        <f t="shared" si="1"/>
        <v>3.5692861301764842</v>
      </c>
      <c r="I21" s="72">
        <v>42.88</v>
      </c>
      <c r="J21" s="72">
        <v>1.28</v>
      </c>
      <c r="K21" s="72">
        <v>17.36</v>
      </c>
      <c r="L21" s="72">
        <v>0.71</v>
      </c>
      <c r="M21" s="105">
        <v>0.5</v>
      </c>
      <c r="N21" s="125">
        <f t="shared" si="2"/>
        <v>0.55555555555555558</v>
      </c>
      <c r="O21" s="144"/>
      <c r="P21" s="144">
        <v>77</v>
      </c>
      <c r="Q21" s="276">
        <v>1.8</v>
      </c>
      <c r="R21" s="114">
        <f t="shared" si="0"/>
        <v>3.5692861301764842</v>
      </c>
      <c r="S21" s="114">
        <f t="shared" si="3"/>
        <v>43.435980551053483</v>
      </c>
      <c r="T21" s="117">
        <f t="shared" si="4"/>
        <v>155.03544293149071</v>
      </c>
      <c r="U21" s="117">
        <f>SUM($R$11:R21)</f>
        <v>90.080807402940081</v>
      </c>
      <c r="V21" s="117">
        <f>SUM($T$11:T21)</f>
        <v>2531.9401673049006</v>
      </c>
      <c r="W21" s="117">
        <f t="shared" si="5"/>
        <v>28.107431985809026</v>
      </c>
      <c r="X21" s="117">
        <f>SUM(R21:$R$24)</f>
        <v>13.488478727236391</v>
      </c>
      <c r="Y21" s="130">
        <f>SUM(T21:$T$24)</f>
        <v>781.18250618471143</v>
      </c>
      <c r="Z21" s="114">
        <f t="shared" si="6"/>
        <v>57.914796915334968</v>
      </c>
      <c r="AA21" s="114">
        <f t="shared" si="7"/>
        <v>88.296164337851835</v>
      </c>
      <c r="AB21" s="135">
        <f>SUM(R21:R22)</f>
        <v>5.7447333859884484</v>
      </c>
      <c r="AJ21" s="144">
        <v>77</v>
      </c>
      <c r="AK21" s="171">
        <v>1.8</v>
      </c>
      <c r="AL21" s="161">
        <f t="shared" si="8"/>
        <v>2.0208758408097696</v>
      </c>
      <c r="AM21" s="161">
        <f t="shared" si="9"/>
        <v>44.037674046346226</v>
      </c>
      <c r="AN21" s="162">
        <f t="shared" si="10"/>
        <v>88.994671565716502</v>
      </c>
      <c r="AO21" s="162">
        <f>SUM($AL$11:AL21)</f>
        <v>89.677559325121308</v>
      </c>
      <c r="AP21" s="162">
        <f>SUM($AN$11:AN21)</f>
        <v>1984.7035074531429</v>
      </c>
      <c r="AQ21" s="162">
        <f t="shared" si="11"/>
        <v>22.131551331116228</v>
      </c>
      <c r="AR21" s="162">
        <f>SUM(AL21:$AL$24)</f>
        <v>12.343316515688457</v>
      </c>
      <c r="AS21" s="163">
        <f>SUM(AN21:$AN$24)</f>
        <v>774.78640326368873</v>
      </c>
      <c r="AT21" s="161">
        <f t="shared" si="12"/>
        <v>62.769710416072442</v>
      </c>
      <c r="AU21" s="161">
        <f t="shared" si="13"/>
        <v>88.667121404716426</v>
      </c>
      <c r="AV21" s="165">
        <f>SUM(AL21:AL22)</f>
        <v>4.3091963468614267</v>
      </c>
    </row>
    <row r="22" spans="2:48" x14ac:dyDescent="0.25">
      <c r="B22" s="68"/>
      <c r="C22" s="69"/>
      <c r="D22" s="70"/>
      <c r="E22" s="277">
        <f t="shared" si="14"/>
        <v>1.8</v>
      </c>
      <c r="F22" s="276">
        <v>2</v>
      </c>
      <c r="G22" s="284">
        <v>123.3</v>
      </c>
      <c r="H22" s="72">
        <f t="shared" si="1"/>
        <v>2.1754472558119646</v>
      </c>
      <c r="I22" s="72">
        <v>50.06</v>
      </c>
      <c r="J22" s="72">
        <v>1.55</v>
      </c>
      <c r="K22" s="72">
        <v>17.3</v>
      </c>
      <c r="L22" s="72">
        <v>0.70499999999999996</v>
      </c>
      <c r="M22" s="105">
        <v>0</v>
      </c>
      <c r="N22" s="125">
        <f t="shared" si="2"/>
        <v>0.5</v>
      </c>
      <c r="O22" s="144"/>
      <c r="P22" s="144">
        <v>84</v>
      </c>
      <c r="Q22" s="276">
        <v>2</v>
      </c>
      <c r="R22" s="114">
        <f t="shared" si="0"/>
        <v>2.1754472558119646</v>
      </c>
      <c r="S22" s="114">
        <f t="shared" si="3"/>
        <v>50.848146267140677</v>
      </c>
      <c r="T22" s="117">
        <f t="shared" si="4"/>
        <v>110.61746025997658</v>
      </c>
      <c r="U22" s="117">
        <f>SUM($R$11:R22)</f>
        <v>92.256254658752042</v>
      </c>
      <c r="V22" s="117">
        <f>SUM($T$11:T22)</f>
        <v>2642.5576275648773</v>
      </c>
      <c r="W22" s="117">
        <f t="shared" si="5"/>
        <v>28.643669064384532</v>
      </c>
      <c r="X22" s="117">
        <f>SUM(R22:$R$24)</f>
        <v>9.919192597059908</v>
      </c>
      <c r="Y22" s="130">
        <f>SUM(T22:$T$24)</f>
        <v>626.14706325322072</v>
      </c>
      <c r="Z22" s="114">
        <f t="shared" si="6"/>
        <v>63.124801451966306</v>
      </c>
      <c r="AA22" s="114">
        <f t="shared" si="7"/>
        <v>91.168531030846054</v>
      </c>
      <c r="AB22" s="134"/>
      <c r="AJ22" s="144">
        <v>84</v>
      </c>
      <c r="AK22" s="171">
        <v>2</v>
      </c>
      <c r="AL22" s="161">
        <f t="shared" si="8"/>
        <v>2.2883205060516567</v>
      </c>
      <c r="AM22" s="161">
        <f t="shared" si="9"/>
        <v>50.951922281378891</v>
      </c>
      <c r="AN22" s="162">
        <f t="shared" si="10"/>
        <v>116.59432857922963</v>
      </c>
      <c r="AO22" s="162">
        <f>SUM($AL$11:AL22)</f>
        <v>91.96587983117297</v>
      </c>
      <c r="AP22" s="162">
        <f>SUM($AN$11:AN22)</f>
        <v>2101.2978360323727</v>
      </c>
      <c r="AQ22" s="162">
        <f t="shared" si="11"/>
        <v>22.848667787334232</v>
      </c>
      <c r="AR22" s="162">
        <f>SUM(AL22:$AL$24)</f>
        <v>10.322440674878688</v>
      </c>
      <c r="AS22" s="163">
        <f>SUM(AN22:$AN$24)</f>
        <v>685.7917316979723</v>
      </c>
      <c r="AT22" s="161">
        <f t="shared" si="12"/>
        <v>66.436974868449113</v>
      </c>
      <c r="AU22" s="161">
        <f t="shared" si="13"/>
        <v>90.821719578147139</v>
      </c>
      <c r="AV22" s="164"/>
    </row>
    <row r="23" spans="2:48" x14ac:dyDescent="0.25">
      <c r="B23" s="68"/>
      <c r="C23" s="69"/>
      <c r="D23" s="70"/>
      <c r="E23" s="277">
        <f t="shared" si="14"/>
        <v>2</v>
      </c>
      <c r="F23" s="276">
        <v>2.2000000000000002</v>
      </c>
      <c r="G23" s="284">
        <v>137.30000000000001</v>
      </c>
      <c r="H23" s="72">
        <f t="shared" si="1"/>
        <v>2.4224566765854241</v>
      </c>
      <c r="I23" s="72">
        <v>60.33</v>
      </c>
      <c r="J23" s="72">
        <v>1.31</v>
      </c>
      <c r="K23" s="72">
        <v>14.33</v>
      </c>
      <c r="L23" s="72">
        <v>0.59</v>
      </c>
      <c r="M23" s="105">
        <v>0</v>
      </c>
      <c r="N23" s="125">
        <f t="shared" si="2"/>
        <v>0.45454545454545453</v>
      </c>
      <c r="O23" s="144"/>
      <c r="P23" s="144">
        <v>91</v>
      </c>
      <c r="Q23" s="276">
        <v>2.2000000000000002</v>
      </c>
      <c r="R23" s="114">
        <f t="shared" si="0"/>
        <v>2.4224566765854241</v>
      </c>
      <c r="S23" s="114">
        <f t="shared" si="3"/>
        <v>61.130813658932013</v>
      </c>
      <c r="T23" s="117">
        <f t="shared" si="4"/>
        <v>148.08674769317929</v>
      </c>
      <c r="U23" s="117">
        <f>SUM($R$11:R23)</f>
        <v>94.678711335337468</v>
      </c>
      <c r="V23" s="117">
        <f>SUM($T$11:T23)</f>
        <v>2790.6443752580567</v>
      </c>
      <c r="W23" s="117">
        <f t="shared" si="5"/>
        <v>29.474887605662719</v>
      </c>
      <c r="X23" s="117">
        <f>SUM(R23:$R$24)</f>
        <v>7.7437453412479424</v>
      </c>
      <c r="Y23" s="130">
        <f>SUM(T23:$T$24)</f>
        <v>515.52960299324423</v>
      </c>
      <c r="Z23" s="114">
        <f t="shared" si="6"/>
        <v>66.573677242098469</v>
      </c>
      <c r="AA23" s="114">
        <f t="shared" si="7"/>
        <v>93.467482997044755</v>
      </c>
      <c r="AB23" s="134"/>
      <c r="AJ23" s="144">
        <v>91</v>
      </c>
      <c r="AK23" s="171">
        <v>2.2000000000000002</v>
      </c>
      <c r="AL23" s="161">
        <f t="shared" si="8"/>
        <v>2.2037986357616886</v>
      </c>
      <c r="AM23" s="161">
        <f t="shared" si="9"/>
        <v>59.335187692253164</v>
      </c>
      <c r="AN23" s="162">
        <f t="shared" si="10"/>
        <v>130.76280568885124</v>
      </c>
      <c r="AO23" s="162">
        <f>SUM($AL$11:AL23)</f>
        <v>94.169678466934656</v>
      </c>
      <c r="AP23" s="162">
        <f>SUM($AN$11:AN23)</f>
        <v>2232.0606417212239</v>
      </c>
      <c r="AQ23" s="162">
        <f t="shared" si="11"/>
        <v>23.702540754718161</v>
      </c>
      <c r="AR23" s="162">
        <f>SUM(AL23:$AL$24)</f>
        <v>8.0341201688270303</v>
      </c>
      <c r="AS23" s="163">
        <f>SUM(AN23:$AN$24)</f>
        <v>569.19740311874261</v>
      </c>
      <c r="AT23" s="161">
        <f t="shared" si="12"/>
        <v>70.847509267694292</v>
      </c>
      <c r="AU23" s="161">
        <f t="shared" si="13"/>
        <v>93.067779149053806</v>
      </c>
      <c r="AV23" s="164"/>
    </row>
    <row r="24" spans="2:48" x14ac:dyDescent="0.25">
      <c r="B24" s="68"/>
      <c r="C24" s="69"/>
      <c r="D24" s="70"/>
      <c r="E24" s="277">
        <f t="shared" si="14"/>
        <v>2.2000000000000002</v>
      </c>
      <c r="F24" s="276">
        <v>2.8</v>
      </c>
      <c r="G24" s="284">
        <v>301.60000000000002</v>
      </c>
      <c r="H24" s="72">
        <f t="shared" si="1"/>
        <v>5.3212886646625188</v>
      </c>
      <c r="I24" s="72">
        <v>68.14</v>
      </c>
      <c r="J24" s="72">
        <v>1.32</v>
      </c>
      <c r="K24" s="72">
        <v>12.29</v>
      </c>
      <c r="L24" s="72">
        <v>0.3</v>
      </c>
      <c r="M24" s="105">
        <v>0</v>
      </c>
      <c r="N24" s="125">
        <f t="shared" si="2"/>
        <v>0.35714285714285715</v>
      </c>
      <c r="O24" s="144"/>
      <c r="P24" s="144">
        <v>98</v>
      </c>
      <c r="Q24" s="281">
        <v>2.8</v>
      </c>
      <c r="R24" s="115">
        <f t="shared" si="0"/>
        <v>5.3212886646625188</v>
      </c>
      <c r="S24" s="115">
        <f t="shared" si="3"/>
        <v>69.051479529793269</v>
      </c>
      <c r="T24" s="118">
        <f t="shared" si="4"/>
        <v>367.44285530006488</v>
      </c>
      <c r="U24" s="118">
        <f>SUM($R$11:R24)</f>
        <v>99.999999999999986</v>
      </c>
      <c r="V24" s="118">
        <f>SUM($T$11:T24)</f>
        <v>3158.0872305581215</v>
      </c>
      <c r="W24" s="118">
        <f t="shared" si="5"/>
        <v>31.58087230558122</v>
      </c>
      <c r="X24" s="118">
        <f>SUM(R24:$R$24)</f>
        <v>5.3212886646625188</v>
      </c>
      <c r="Y24" s="131">
        <f>SUM(T24:$T$24)</f>
        <v>367.44285530006488</v>
      </c>
      <c r="Z24" s="115">
        <f t="shared" si="6"/>
        <v>69.051479529793269</v>
      </c>
      <c r="AA24" s="115">
        <f t="shared" si="7"/>
        <v>97.339355667668727</v>
      </c>
      <c r="AB24" s="136"/>
      <c r="AD24" s="112"/>
      <c r="AJ24" s="144">
        <v>98</v>
      </c>
      <c r="AK24" s="172">
        <v>2.8</v>
      </c>
      <c r="AL24" s="166">
        <f t="shared" si="8"/>
        <v>5.8303215330653417</v>
      </c>
      <c r="AM24" s="166">
        <f t="shared" si="9"/>
        <v>75.199042615987707</v>
      </c>
      <c r="AN24" s="167">
        <f t="shared" si="10"/>
        <v>438.43459742989143</v>
      </c>
      <c r="AO24" s="167">
        <f>SUM($AL$11:AL24)</f>
        <v>100</v>
      </c>
      <c r="AP24" s="167">
        <f>SUM($AN$11:AN24)</f>
        <v>2670.4952391511151</v>
      </c>
      <c r="AQ24" s="167">
        <f t="shared" si="11"/>
        <v>26.704952391511153</v>
      </c>
      <c r="AR24" s="167">
        <f>SUM(AL24:$AL$24)</f>
        <v>5.8303215330653417</v>
      </c>
      <c r="AS24" s="168">
        <f>SUM(AN24:$AN$24)</f>
        <v>438.43459742989143</v>
      </c>
      <c r="AT24" s="166">
        <f t="shared" si="12"/>
        <v>75.199042615987707</v>
      </c>
      <c r="AU24" s="166">
        <f t="shared" si="13"/>
        <v>97.084839233467335</v>
      </c>
      <c r="AV24" s="169"/>
    </row>
    <row r="25" spans="2:48" x14ac:dyDescent="0.25">
      <c r="B25" s="292" t="s">
        <v>82</v>
      </c>
      <c r="C25" s="293"/>
      <c r="D25" s="293"/>
      <c r="E25" s="73"/>
      <c r="F25" s="74"/>
      <c r="G25" s="75">
        <f>SUM(G11:G24)</f>
        <v>5667.8000200000006</v>
      </c>
      <c r="H25" s="76">
        <f>SUM(H11:H24)</f>
        <v>99.999999999999986</v>
      </c>
      <c r="I25" s="77">
        <f>SUMPRODUCT($H$11:$H$24,I11:I24)/$H$25</f>
        <v>31.240175464059508</v>
      </c>
      <c r="J25" s="77">
        <f>SUMPRODUCT($H$11:$H$24,J11:J24)/$H$25</f>
        <v>1.0212122833508159</v>
      </c>
      <c r="K25" s="77">
        <f>SUMPRODUCT($H$11:$H$24,K11:K24)/$H$25</f>
        <v>18.817363813764199</v>
      </c>
      <c r="L25" s="77">
        <f>SUMPRODUCT($H$11:$H$24,L11:L24)/$H$25</f>
        <v>0.56036089643120468</v>
      </c>
      <c r="M25" s="106">
        <f>SUMPRODUCT($H$11:$H$24,M11:M24)/$H$25</f>
        <v>1.3903278118835247</v>
      </c>
      <c r="N25" s="124"/>
      <c r="O25" s="141">
        <f>COUNT(O11:O24)</f>
        <v>0</v>
      </c>
      <c r="P25" s="142">
        <v>100</v>
      </c>
      <c r="Q25" s="138"/>
      <c r="S25" s="112"/>
      <c r="AD25" s="112"/>
    </row>
    <row r="26" spans="2:48" ht="23.45" customHeight="1" x14ac:dyDescent="0.25">
      <c r="B26" s="65" t="s">
        <v>83</v>
      </c>
      <c r="C26" s="66" t="s">
        <v>84</v>
      </c>
      <c r="D26" s="148">
        <f>Pretreatment!R42</f>
        <v>16.527196652719663</v>
      </c>
      <c r="E26" s="67"/>
      <c r="F26" s="67"/>
      <c r="G26" s="104"/>
      <c r="H26" s="67"/>
      <c r="I26" s="67"/>
      <c r="J26" s="67"/>
      <c r="K26" s="67"/>
      <c r="L26" s="67"/>
      <c r="M26" s="67"/>
      <c r="N26" s="122" t="s">
        <v>146</v>
      </c>
      <c r="O26" s="143"/>
      <c r="P26" s="142"/>
      <c r="Q26" s="301" t="s">
        <v>147</v>
      </c>
      <c r="R26" s="302"/>
      <c r="S26" s="302"/>
      <c r="T26" s="302"/>
      <c r="U26" s="302"/>
      <c r="V26" s="302"/>
      <c r="W26" s="302"/>
      <c r="X26" s="302"/>
      <c r="Y26" s="302"/>
      <c r="Z26" s="302"/>
      <c r="AA26" s="303"/>
      <c r="AB26" s="151">
        <f>D26</f>
        <v>16.527196652719663</v>
      </c>
      <c r="AD26" s="112"/>
      <c r="AJ26" s="137"/>
      <c r="AK26" s="301" t="s">
        <v>156</v>
      </c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152">
        <f>AB10+AB26</f>
        <v>39.539748953974893</v>
      </c>
    </row>
    <row r="27" spans="2:48" x14ac:dyDescent="0.25">
      <c r="B27" s="68"/>
      <c r="C27" s="69"/>
      <c r="D27" s="70"/>
      <c r="E27" s="278">
        <v>1.25</v>
      </c>
      <c r="F27" s="276">
        <v>1.3</v>
      </c>
      <c r="G27" s="284">
        <v>13.5</v>
      </c>
      <c r="H27" s="72">
        <f>G27/$G$41*100</f>
        <v>0.4530809504631495</v>
      </c>
      <c r="I27" s="72">
        <v>6.03</v>
      </c>
      <c r="J27" s="72">
        <v>0.96</v>
      </c>
      <c r="K27" s="72">
        <v>29.61</v>
      </c>
      <c r="L27" s="72">
        <v>0.67</v>
      </c>
      <c r="M27" s="105">
        <v>7</v>
      </c>
      <c r="N27" s="125">
        <f>1/Q27</f>
        <v>0.76923076923076916</v>
      </c>
      <c r="O27" s="144"/>
      <c r="P27" s="144">
        <v>7</v>
      </c>
      <c r="Q27" s="280">
        <v>1.3</v>
      </c>
      <c r="R27" s="113">
        <f t="shared" ref="R27:R40" si="15">H27</f>
        <v>0.4530809504631495</v>
      </c>
      <c r="S27" s="146">
        <f>I27*100/(100-J27)</f>
        <v>6.0884491114701129</v>
      </c>
      <c r="T27" s="116">
        <f>R27*S27</f>
        <v>2.7585603102713967</v>
      </c>
      <c r="U27" s="116">
        <f>SUM($R$27:R27)</f>
        <v>0.4530809504631495</v>
      </c>
      <c r="V27" s="116">
        <f>SUM($T$27:T27)</f>
        <v>2.7585603102713967</v>
      </c>
      <c r="W27" s="116">
        <f>V27/U27</f>
        <v>6.0884491114701129</v>
      </c>
      <c r="X27" s="116">
        <f>SUM(R27:$R$40)</f>
        <v>100.00000000000001</v>
      </c>
      <c r="Y27" s="129">
        <f>SUM(T27:$T$40)</f>
        <v>2617.4846593975426</v>
      </c>
      <c r="Z27" s="113">
        <f>Y27/X27</f>
        <v>26.174846593975424</v>
      </c>
      <c r="AA27" s="133">
        <f>U27-R27/2</f>
        <v>0.22654047523157475</v>
      </c>
      <c r="AB27" s="67"/>
      <c r="AD27" s="112"/>
      <c r="AJ27" s="144">
        <v>7</v>
      </c>
      <c r="AK27" s="280">
        <v>1.3</v>
      </c>
      <c r="AL27" s="113">
        <f>(R11*$AB$10+R27*$AB$26)/$AV$26</f>
        <v>0.18938314547339613</v>
      </c>
      <c r="AM27" s="146">
        <f>((R11*S11*$AB$10+R27*S27*$AB$26)/AL27)/$AV$26</f>
        <v>6.0884479790725274</v>
      </c>
      <c r="AN27" s="116">
        <f>AL27*AM27</f>
        <v>1.1530494293278972</v>
      </c>
      <c r="AO27" s="116">
        <f>SUM($AL$27:AL27)</f>
        <v>0.18938314547339613</v>
      </c>
      <c r="AP27" s="116">
        <f>SUM($AN$27:AN27)</f>
        <v>1.1530494293278972</v>
      </c>
      <c r="AQ27" s="116">
        <f>AP27/AO27</f>
        <v>6.0884479790725274</v>
      </c>
      <c r="AR27" s="116">
        <f>SUM(AL27:$AL$40)</f>
        <v>100</v>
      </c>
      <c r="AS27" s="129">
        <f>SUM(AN27:$AN$40)</f>
        <v>2932.1210764751277</v>
      </c>
      <c r="AT27" s="113">
        <f>AS27/AR27</f>
        <v>29.321210764751278</v>
      </c>
      <c r="AU27" s="133">
        <f>AO27-AL27/2</f>
        <v>9.4691572736698065E-2</v>
      </c>
      <c r="AV27" s="67"/>
    </row>
    <row r="28" spans="2:48" x14ac:dyDescent="0.25">
      <c r="B28" s="68"/>
      <c r="C28" s="69"/>
      <c r="D28" s="70"/>
      <c r="E28" s="279">
        <f>F27</f>
        <v>1.3</v>
      </c>
      <c r="F28" s="276">
        <v>1.325</v>
      </c>
      <c r="G28" s="284">
        <v>30.7</v>
      </c>
      <c r="H28" s="72">
        <f t="shared" ref="H28:H40" si="16">G28/$G$41*100</f>
        <v>1.0303396429050882</v>
      </c>
      <c r="I28" s="72">
        <v>9.39</v>
      </c>
      <c r="J28" s="72">
        <v>0.85</v>
      </c>
      <c r="K28" s="72">
        <v>27.98</v>
      </c>
      <c r="L28" s="72">
        <v>0.66</v>
      </c>
      <c r="M28" s="105">
        <v>6.5</v>
      </c>
      <c r="N28" s="125">
        <f t="shared" ref="N28:N40" si="17">1/Q28</f>
        <v>0.75471698113207553</v>
      </c>
      <c r="O28" s="144"/>
      <c r="P28" s="144">
        <v>14</v>
      </c>
      <c r="Q28" s="276">
        <v>1.325</v>
      </c>
      <c r="R28" s="114">
        <f t="shared" si="15"/>
        <v>1.0303396429050882</v>
      </c>
      <c r="S28" s="147">
        <f>I28*100/(100-J28)</f>
        <v>9.4704992435703481</v>
      </c>
      <c r="T28" s="117">
        <f t="shared" ref="T28:T40" si="18">R28*S28</f>
        <v>9.7578308087531802</v>
      </c>
      <c r="U28" s="117">
        <f>SUM($R$27:R28)</f>
        <v>1.4834205933682376</v>
      </c>
      <c r="V28" s="117">
        <f>SUM($T$27:T28)</f>
        <v>12.516391119024577</v>
      </c>
      <c r="W28" s="117">
        <f t="shared" ref="W28:W40" si="19">V28/U28</f>
        <v>8.4375201308248009</v>
      </c>
      <c r="X28" s="117">
        <f>SUM(R28:$R$40)</f>
        <v>99.546919049536868</v>
      </c>
      <c r="Y28" s="130">
        <f>SUM(T28:$T$40)</f>
        <v>2614.7260990872715</v>
      </c>
      <c r="Z28" s="114">
        <f t="shared" ref="Z28:Z40" si="20">Y28/X28</f>
        <v>26.266268449615431</v>
      </c>
      <c r="AA28" s="114">
        <f t="shared" ref="AA28:AA40" si="21">U28-R28/2</f>
        <v>0.96825077191569353</v>
      </c>
      <c r="AB28" s="134"/>
      <c r="AD28" s="112"/>
      <c r="AJ28" s="144">
        <v>14</v>
      </c>
      <c r="AK28" s="276">
        <v>1.325</v>
      </c>
      <c r="AL28" s="114">
        <f t="shared" ref="AL28:AL40" si="22">(R12*$AB$10+R28*$AB$26)/$AV$26</f>
        <v>0.43067117035653457</v>
      </c>
      <c r="AM28" s="147">
        <f t="shared" ref="AM28:AM40" si="23">((R12*S12*$AB$10+R28*S28*$AB$26)/AL28)/$AV$26</f>
        <v>9.4704988929514116</v>
      </c>
      <c r="AN28" s="117">
        <f t="shared" ref="AN28:AN40" si="24">AL28*AM28</f>
        <v>4.0786708420876492</v>
      </c>
      <c r="AO28" s="117">
        <f>SUM($AL$27:AL28)</f>
        <v>0.62005431582993076</v>
      </c>
      <c r="AP28" s="117">
        <f>SUM($AN$27:AN28)</f>
        <v>5.2317202714155462</v>
      </c>
      <c r="AQ28" s="117">
        <f t="shared" ref="AQ28:AQ40" si="25">AP28/AO28</f>
        <v>8.4375193234692496</v>
      </c>
      <c r="AR28" s="117">
        <f>SUM(AL28:$AL$40)</f>
        <v>99.8106168545266</v>
      </c>
      <c r="AS28" s="130">
        <f>SUM(AN28:$AN$40)</f>
        <v>2930.9680270458002</v>
      </c>
      <c r="AT28" s="114">
        <f t="shared" ref="AT28:AT40" si="26">AS28/AR28</f>
        <v>29.36529318637184</v>
      </c>
      <c r="AU28" s="114">
        <f t="shared" ref="AU28:AU40" si="27">AO28-AL28/2</f>
        <v>0.40471873065166347</v>
      </c>
      <c r="AV28" s="134"/>
    </row>
    <row r="29" spans="2:48" x14ac:dyDescent="0.25">
      <c r="B29" s="68"/>
      <c r="C29" s="69"/>
      <c r="D29" s="70"/>
      <c r="E29" s="279">
        <f t="shared" ref="E29:E40" si="28">F28</f>
        <v>1.325</v>
      </c>
      <c r="F29" s="276">
        <v>1.35</v>
      </c>
      <c r="G29" s="284">
        <v>99.9</v>
      </c>
      <c r="H29" s="72">
        <f t="shared" si="16"/>
        <v>3.3527990334273068</v>
      </c>
      <c r="I29" s="72">
        <v>11.76</v>
      </c>
      <c r="J29" s="72">
        <v>0.85</v>
      </c>
      <c r="K29" s="72">
        <v>26.82</v>
      </c>
      <c r="L29" s="72">
        <v>0.61</v>
      </c>
      <c r="M29" s="105">
        <v>6.5</v>
      </c>
      <c r="N29" s="125">
        <f t="shared" si="17"/>
        <v>0.7407407407407407</v>
      </c>
      <c r="O29" s="144"/>
      <c r="P29" s="144">
        <v>21</v>
      </c>
      <c r="Q29" s="276">
        <v>1.35</v>
      </c>
      <c r="R29" s="114">
        <f t="shared" si="15"/>
        <v>3.3527990334273068</v>
      </c>
      <c r="S29" s="147">
        <f>I29*100/(100-J29)</f>
        <v>11.860816944024204</v>
      </c>
      <c r="T29" s="117">
        <f t="shared" si="18"/>
        <v>39.766935585582573</v>
      </c>
      <c r="U29" s="117">
        <f>SUM($R$27:R29)</f>
        <v>4.8362196267955442</v>
      </c>
      <c r="V29" s="117">
        <f>SUM($T$27:T29)</f>
        <v>52.283326704607148</v>
      </c>
      <c r="W29" s="117">
        <f t="shared" si="19"/>
        <v>10.810784194937364</v>
      </c>
      <c r="X29" s="117">
        <f>SUM(R29:$R$40)</f>
        <v>98.516579406631777</v>
      </c>
      <c r="Y29" s="130">
        <f>SUM(T29:$T$40)</f>
        <v>2604.9682682785183</v>
      </c>
      <c r="Z29" s="114">
        <f t="shared" si="20"/>
        <v>26.441927683323133</v>
      </c>
      <c r="AA29" s="114">
        <f t="shared" si="21"/>
        <v>3.159820110081891</v>
      </c>
      <c r="AB29" s="135">
        <f>SUM(R28:R31)</f>
        <v>21.080010739696611</v>
      </c>
      <c r="AJ29" s="144">
        <v>21</v>
      </c>
      <c r="AK29" s="276">
        <v>1.35</v>
      </c>
      <c r="AL29" s="114">
        <f t="shared" si="22"/>
        <v>2.3656674369386472</v>
      </c>
      <c r="AM29" s="147">
        <f t="shared" si="23"/>
        <v>11.552497925306005</v>
      </c>
      <c r="AN29" s="117">
        <f t="shared" si="24"/>
        <v>27.329368157197695</v>
      </c>
      <c r="AO29" s="117">
        <f>SUM($AL$27:AL29)</f>
        <v>2.985721752768578</v>
      </c>
      <c r="AP29" s="117">
        <f>SUM($AN$27:AN29)</f>
        <v>32.561088428613239</v>
      </c>
      <c r="AQ29" s="117">
        <f t="shared" si="25"/>
        <v>10.905600429249724</v>
      </c>
      <c r="AR29" s="117">
        <f>SUM(AL29:$AL$40)</f>
        <v>99.379945684170067</v>
      </c>
      <c r="AS29" s="130">
        <f>SUM(AN29:$AN$40)</f>
        <v>2926.8893562037119</v>
      </c>
      <c r="AT29" s="114">
        <f t="shared" si="26"/>
        <v>29.451508914136259</v>
      </c>
      <c r="AU29" s="114">
        <f t="shared" si="27"/>
        <v>1.8028880342992544</v>
      </c>
      <c r="AV29" s="135">
        <f>SUM(AL28:AL31)</f>
        <v>12.607567749209778</v>
      </c>
    </row>
    <row r="30" spans="2:48" x14ac:dyDescent="0.25">
      <c r="B30" s="68"/>
      <c r="C30" s="69"/>
      <c r="D30" s="70"/>
      <c r="E30" s="279">
        <f t="shared" si="28"/>
        <v>1.35</v>
      </c>
      <c r="F30" s="276">
        <v>1.375</v>
      </c>
      <c r="G30" s="284">
        <v>202.4</v>
      </c>
      <c r="H30" s="72">
        <f t="shared" si="16"/>
        <v>6.7928581017586271</v>
      </c>
      <c r="I30" s="72">
        <v>15.1</v>
      </c>
      <c r="J30" s="72">
        <v>0.83</v>
      </c>
      <c r="K30" s="72">
        <v>24.76</v>
      </c>
      <c r="L30" s="72">
        <v>0.61</v>
      </c>
      <c r="M30" s="105">
        <v>5.5</v>
      </c>
      <c r="N30" s="125">
        <f t="shared" si="17"/>
        <v>0.72727272727272729</v>
      </c>
      <c r="O30" s="144"/>
      <c r="P30" s="144">
        <v>28</v>
      </c>
      <c r="Q30" s="276">
        <v>1.375</v>
      </c>
      <c r="R30" s="114">
        <f t="shared" si="15"/>
        <v>6.7928581017586271</v>
      </c>
      <c r="S30" s="147">
        <f>I30*100/(100-J30)</f>
        <v>15.226378945245537</v>
      </c>
      <c r="T30" s="117">
        <f t="shared" si="18"/>
        <v>103.43063157865812</v>
      </c>
      <c r="U30" s="117">
        <f>SUM($R$27:R30)</f>
        <v>11.629077728554172</v>
      </c>
      <c r="V30" s="117">
        <f>SUM($T$27:T30)</f>
        <v>155.71395828326527</v>
      </c>
      <c r="W30" s="117">
        <f t="shared" si="19"/>
        <v>13.39005223956182</v>
      </c>
      <c r="X30" s="117">
        <f>SUM(R30:$R$40)</f>
        <v>95.163780373204474</v>
      </c>
      <c r="Y30" s="130">
        <f>SUM(T30:$T$40)</f>
        <v>2565.2013326929355</v>
      </c>
      <c r="Z30" s="114">
        <f t="shared" si="20"/>
        <v>26.955647649063195</v>
      </c>
      <c r="AA30" s="114">
        <f t="shared" si="21"/>
        <v>8.2326486776748595</v>
      </c>
      <c r="AB30" s="135">
        <f>SUM(R29:R32)</f>
        <v>33.333333333333343</v>
      </c>
      <c r="AJ30" s="144">
        <v>28</v>
      </c>
      <c r="AK30" s="276">
        <v>1.375</v>
      </c>
      <c r="AL30" s="114">
        <f t="shared" si="22"/>
        <v>3.8343818883482017</v>
      </c>
      <c r="AM30" s="147">
        <f t="shared" si="23"/>
        <v>15.20893826326297</v>
      </c>
      <c r="AN30" s="117">
        <f t="shared" si="24"/>
        <v>58.316877417661487</v>
      </c>
      <c r="AO30" s="117">
        <f>SUM($AL$27:AL30)</f>
        <v>6.8201036411167797</v>
      </c>
      <c r="AP30" s="117">
        <f>SUM($AN$27:AN30)</f>
        <v>90.877965846274719</v>
      </c>
      <c r="AQ30" s="117">
        <f t="shared" si="25"/>
        <v>13.325012437991868</v>
      </c>
      <c r="AR30" s="117">
        <f>SUM(AL30:$AL$40)</f>
        <v>97.014278247231417</v>
      </c>
      <c r="AS30" s="130">
        <f>SUM(AN30:$AN$40)</f>
        <v>2899.5599880465143</v>
      </c>
      <c r="AT30" s="114">
        <f t="shared" si="26"/>
        <v>29.887971548448455</v>
      </c>
      <c r="AU30" s="114">
        <f t="shared" si="27"/>
        <v>4.9029126969426784</v>
      </c>
      <c r="AV30" s="135">
        <f>SUM(AL29:AL32)</f>
        <v>24.510790303827697</v>
      </c>
    </row>
    <row r="31" spans="2:48" x14ac:dyDescent="0.25">
      <c r="B31" s="68"/>
      <c r="C31" s="69"/>
      <c r="D31" s="70"/>
      <c r="E31" s="279">
        <f t="shared" si="28"/>
        <v>1.375</v>
      </c>
      <c r="F31" s="276">
        <v>1.4</v>
      </c>
      <c r="G31" s="284">
        <v>295.10000000000002</v>
      </c>
      <c r="H31" s="72">
        <f t="shared" si="16"/>
        <v>9.9040139616055871</v>
      </c>
      <c r="I31" s="72">
        <v>16.75</v>
      </c>
      <c r="J31" s="72">
        <v>0.82</v>
      </c>
      <c r="K31" s="72">
        <v>23.55</v>
      </c>
      <c r="L31" s="72">
        <v>0.59</v>
      </c>
      <c r="M31" s="105">
        <v>5</v>
      </c>
      <c r="N31" s="125">
        <f t="shared" si="17"/>
        <v>0.7142857142857143</v>
      </c>
      <c r="O31" s="144"/>
      <c r="P31" s="144">
        <v>35</v>
      </c>
      <c r="Q31" s="276">
        <v>1.4</v>
      </c>
      <c r="R31" s="114">
        <f t="shared" si="15"/>
        <v>9.9040139616055871</v>
      </c>
      <c r="S31" s="147">
        <f>I31*100/(100-J31)</f>
        <v>16.888485581770517</v>
      </c>
      <c r="T31" s="117">
        <f t="shared" si="18"/>
        <v>167.26379699222986</v>
      </c>
      <c r="U31" s="117">
        <f>SUM($R$27:R31)</f>
        <v>21.533091690159758</v>
      </c>
      <c r="V31" s="117">
        <f>SUM($T$27:T31)</f>
        <v>322.97775527549516</v>
      </c>
      <c r="W31" s="117">
        <f t="shared" si="19"/>
        <v>14.999135280842662</v>
      </c>
      <c r="X31" s="117">
        <f>SUM(R31:$R$40)</f>
        <v>88.370922271445849</v>
      </c>
      <c r="Y31" s="130">
        <f>SUM(T31:$T$40)</f>
        <v>2461.7707011142775</v>
      </c>
      <c r="Z31" s="114">
        <f t="shared" si="20"/>
        <v>27.857248038586075</v>
      </c>
      <c r="AA31" s="114">
        <f t="shared" si="21"/>
        <v>16.581084709356965</v>
      </c>
      <c r="AB31" s="135">
        <f>SUM(R30:R33)</f>
        <v>43.515908175594049</v>
      </c>
      <c r="AJ31" s="144">
        <v>35</v>
      </c>
      <c r="AK31" s="276">
        <v>1.4</v>
      </c>
      <c r="AL31" s="114">
        <f t="shared" si="22"/>
        <v>5.9768472535663948</v>
      </c>
      <c r="AM31" s="147">
        <f t="shared" si="23"/>
        <v>17.305205495778978</v>
      </c>
      <c r="AN31" s="117">
        <f t="shared" si="24"/>
        <v>103.43056993984867</v>
      </c>
      <c r="AO31" s="117">
        <f>SUM($AL$27:AL31)</f>
        <v>12.796950894683174</v>
      </c>
      <c r="AP31" s="117">
        <f>SUM($AN$27:AN31)</f>
        <v>194.3085357861234</v>
      </c>
      <c r="AQ31" s="117">
        <f t="shared" si="25"/>
        <v>15.18397135264885</v>
      </c>
      <c r="AR31" s="117">
        <f>SUM(AL31:$AL$40)</f>
        <v>93.179896358883212</v>
      </c>
      <c r="AS31" s="130">
        <f>SUM(AN31:$AN$40)</f>
        <v>2841.2431106288532</v>
      </c>
      <c r="AT31" s="114">
        <f t="shared" si="26"/>
        <v>30.492018360760778</v>
      </c>
      <c r="AU31" s="114">
        <f t="shared" si="27"/>
        <v>9.8085272678999775</v>
      </c>
      <c r="AV31" s="135">
        <f>SUM(AL30:AL33)</f>
        <v>34.578068160693682</v>
      </c>
    </row>
    <row r="32" spans="2:48" x14ac:dyDescent="0.25">
      <c r="B32" s="68"/>
      <c r="C32" s="69"/>
      <c r="D32" s="70"/>
      <c r="E32" s="279">
        <f t="shared" si="28"/>
        <v>1.4</v>
      </c>
      <c r="F32" s="276">
        <v>1.425</v>
      </c>
      <c r="G32" s="284">
        <v>395.8</v>
      </c>
      <c r="H32" s="72">
        <f t="shared" si="16"/>
        <v>13.28366223654182</v>
      </c>
      <c r="I32" s="72">
        <v>19.190000000000001</v>
      </c>
      <c r="J32" s="72">
        <v>0.82</v>
      </c>
      <c r="K32" s="72">
        <v>21.9</v>
      </c>
      <c r="L32" s="72">
        <v>0.53</v>
      </c>
      <c r="M32" s="105">
        <v>4</v>
      </c>
      <c r="N32" s="125">
        <f t="shared" si="17"/>
        <v>0.70175438596491224</v>
      </c>
      <c r="O32" s="144"/>
      <c r="P32" s="144">
        <v>42</v>
      </c>
      <c r="Q32" s="276">
        <v>1.425</v>
      </c>
      <c r="R32" s="114">
        <f t="shared" si="15"/>
        <v>13.28366223654182</v>
      </c>
      <c r="S32" s="114">
        <f t="shared" ref="S32:S40" si="29">I32*100/(100-J32)</f>
        <v>19.348659003831418</v>
      </c>
      <c r="T32" s="117">
        <f t="shared" si="18"/>
        <v>257.02105093692029</v>
      </c>
      <c r="U32" s="117">
        <f>SUM($R$27:R32)</f>
        <v>34.81675392670158</v>
      </c>
      <c r="V32" s="117">
        <f>SUM($T$27:T32)</f>
        <v>579.9988062124155</v>
      </c>
      <c r="W32" s="117">
        <f t="shared" si="19"/>
        <v>16.65861232880772</v>
      </c>
      <c r="X32" s="117">
        <f>SUM(R32:$R$40)</f>
        <v>78.466908309840264</v>
      </c>
      <c r="Y32" s="130">
        <f>SUM(T32:$T$40)</f>
        <v>2294.5069041220472</v>
      </c>
      <c r="Z32" s="114">
        <f t="shared" si="20"/>
        <v>29.241714163909538</v>
      </c>
      <c r="AA32" s="114">
        <f t="shared" si="21"/>
        <v>28.174922808430669</v>
      </c>
      <c r="AB32" s="135">
        <f>SUM(R31:R34)</f>
        <v>59.716069271043111</v>
      </c>
      <c r="AJ32" s="144">
        <v>42</v>
      </c>
      <c r="AK32" s="276">
        <v>1.425</v>
      </c>
      <c r="AL32" s="114">
        <f t="shared" si="22"/>
        <v>12.333893724974455</v>
      </c>
      <c r="AM32" s="114">
        <f t="shared" si="23"/>
        <v>19.238021474581188</v>
      </c>
      <c r="AN32" s="117">
        <f t="shared" si="24"/>
        <v>237.27971234626074</v>
      </c>
      <c r="AO32" s="117">
        <f>SUM($AL$27:AL32)</f>
        <v>25.13084461965763</v>
      </c>
      <c r="AP32" s="117">
        <f>SUM($AN$27:AN32)</f>
        <v>431.58824813238414</v>
      </c>
      <c r="AQ32" s="117">
        <f t="shared" si="25"/>
        <v>17.173646754187917</v>
      </c>
      <c r="AR32" s="117">
        <f>SUM(AL32:$AL$40)</f>
        <v>87.203049105316822</v>
      </c>
      <c r="AS32" s="130">
        <f>SUM(AN32:$AN$40)</f>
        <v>2737.812540689004</v>
      </c>
      <c r="AT32" s="114">
        <f t="shared" si="26"/>
        <v>31.395834994055019</v>
      </c>
      <c r="AU32" s="114">
        <f t="shared" si="27"/>
        <v>18.9638977571704</v>
      </c>
      <c r="AV32" s="135">
        <f>SUM(AL31:AL34)</f>
        <v>52.735522130634692</v>
      </c>
    </row>
    <row r="33" spans="2:48" x14ac:dyDescent="0.25">
      <c r="B33" s="68"/>
      <c r="C33" s="69"/>
      <c r="D33" s="70"/>
      <c r="E33" s="279">
        <f t="shared" si="28"/>
        <v>1.425</v>
      </c>
      <c r="F33" s="276">
        <v>1.45</v>
      </c>
      <c r="G33" s="284">
        <v>403.3</v>
      </c>
      <c r="H33" s="72">
        <f t="shared" si="16"/>
        <v>13.535373875688014</v>
      </c>
      <c r="I33" s="72">
        <v>22.14</v>
      </c>
      <c r="J33" s="72">
        <v>0.83</v>
      </c>
      <c r="K33" s="72">
        <v>20.27</v>
      </c>
      <c r="L33" s="72">
        <v>0.53</v>
      </c>
      <c r="M33" s="105">
        <v>2</v>
      </c>
      <c r="N33" s="125">
        <f t="shared" si="17"/>
        <v>0.68965517241379315</v>
      </c>
      <c r="O33" s="144"/>
      <c r="P33" s="144">
        <v>49</v>
      </c>
      <c r="Q33" s="276">
        <v>1.45</v>
      </c>
      <c r="R33" s="114">
        <f t="shared" si="15"/>
        <v>13.535373875688014</v>
      </c>
      <c r="S33" s="114">
        <f t="shared" si="29"/>
        <v>22.325299989916306</v>
      </c>
      <c r="T33" s="117">
        <f t="shared" si="18"/>
        <v>302.18128225041107</v>
      </c>
      <c r="U33" s="117">
        <f>SUM($R$27:R33)</f>
        <v>48.352127802389596</v>
      </c>
      <c r="V33" s="117">
        <f>SUM($T$27:T33)</f>
        <v>882.18008846282657</v>
      </c>
      <c r="W33" s="117">
        <f t="shared" si="19"/>
        <v>18.244907278294143</v>
      </c>
      <c r="X33" s="117">
        <f>SUM(R33:$R$40)</f>
        <v>65.183246073298449</v>
      </c>
      <c r="Y33" s="130">
        <f>SUM(T33:$T$40)</f>
        <v>2037.4858531851271</v>
      </c>
      <c r="Z33" s="114">
        <f t="shared" si="20"/>
        <v>31.257815097056962</v>
      </c>
      <c r="AA33" s="114">
        <f t="shared" si="21"/>
        <v>41.584440864545591</v>
      </c>
      <c r="AB33" s="135">
        <f>SUM(R32:R35)</f>
        <v>64.31400187944692</v>
      </c>
      <c r="AJ33" s="144">
        <v>49</v>
      </c>
      <c r="AK33" s="276">
        <v>1.45</v>
      </c>
      <c r="AL33" s="114">
        <f t="shared" si="22"/>
        <v>12.432945293804631</v>
      </c>
      <c r="AM33" s="114">
        <f t="shared" si="23"/>
        <v>21.969958440705739</v>
      </c>
      <c r="AN33" s="117">
        <f t="shared" si="24"/>
        <v>273.1512914004557</v>
      </c>
      <c r="AO33" s="117">
        <f>SUM($AL$27:AL33)</f>
        <v>37.563789913462259</v>
      </c>
      <c r="AP33" s="117">
        <f>SUM($AN$27:AN33)</f>
        <v>704.7395395328399</v>
      </c>
      <c r="AQ33" s="117">
        <f t="shared" si="25"/>
        <v>18.761140480137563</v>
      </c>
      <c r="AR33" s="117">
        <f>SUM(AL33:$AL$40)</f>
        <v>74.869155380342363</v>
      </c>
      <c r="AS33" s="130">
        <f>SUM(AN33:$AN$40)</f>
        <v>2500.5328283427439</v>
      </c>
      <c r="AT33" s="114">
        <f t="shared" si="26"/>
        <v>33.398704922471765</v>
      </c>
      <c r="AU33" s="114">
        <f t="shared" si="27"/>
        <v>31.347317266559944</v>
      </c>
      <c r="AV33" s="135">
        <f>SUM(AL32:AL35)</f>
        <v>63.132184908779649</v>
      </c>
    </row>
    <row r="34" spans="2:48" x14ac:dyDescent="0.25">
      <c r="B34" s="68"/>
      <c r="C34" s="69"/>
      <c r="D34" s="70"/>
      <c r="E34" s="279">
        <f t="shared" si="28"/>
        <v>1.45</v>
      </c>
      <c r="F34" s="276">
        <v>1.5</v>
      </c>
      <c r="G34" s="284">
        <v>685.1</v>
      </c>
      <c r="H34" s="72">
        <f t="shared" si="16"/>
        <v>22.993019197207683</v>
      </c>
      <c r="I34" s="72">
        <v>25.4</v>
      </c>
      <c r="J34" s="72">
        <v>0.64</v>
      </c>
      <c r="K34" s="72">
        <v>19.73</v>
      </c>
      <c r="L34" s="72">
        <v>0.53</v>
      </c>
      <c r="M34" s="105">
        <v>1.5</v>
      </c>
      <c r="N34" s="125">
        <f t="shared" si="17"/>
        <v>0.66666666666666663</v>
      </c>
      <c r="O34" s="144"/>
      <c r="P34" s="144">
        <v>56</v>
      </c>
      <c r="Q34" s="276">
        <v>1.5</v>
      </c>
      <c r="R34" s="114">
        <f t="shared" si="15"/>
        <v>22.993019197207683</v>
      </c>
      <c r="S34" s="114">
        <f t="shared" si="29"/>
        <v>25.563607085346217</v>
      </c>
      <c r="T34" s="117">
        <f t="shared" si="18"/>
        <v>587.78450846323994</v>
      </c>
      <c r="U34" s="117">
        <f>SUM($R$27:R34)</f>
        <v>71.345146999597276</v>
      </c>
      <c r="V34" s="117">
        <f>SUM($T$27:T34)</f>
        <v>1469.9645969260664</v>
      </c>
      <c r="W34" s="117">
        <f t="shared" si="19"/>
        <v>20.603568129649574</v>
      </c>
      <c r="X34" s="117">
        <f>SUM(R34:$R$40)</f>
        <v>51.647872197610425</v>
      </c>
      <c r="Y34" s="130">
        <f>SUM(T34:$T$40)</f>
        <v>1735.3045709347159</v>
      </c>
      <c r="Z34" s="114">
        <f t="shared" si="20"/>
        <v>33.598762099922531</v>
      </c>
      <c r="AA34" s="114">
        <f t="shared" si="21"/>
        <v>59.848637400993432</v>
      </c>
      <c r="AB34" s="135"/>
      <c r="AJ34" s="144">
        <v>56</v>
      </c>
      <c r="AK34" s="276">
        <v>1.5</v>
      </c>
      <c r="AL34" s="114">
        <f t="shared" si="22"/>
        <v>21.991835858289214</v>
      </c>
      <c r="AM34" s="114">
        <f t="shared" si="23"/>
        <v>25.726540291375269</v>
      </c>
      <c r="AN34" s="117">
        <f t="shared" si="24"/>
        <v>565.77385128958883</v>
      </c>
      <c r="AO34" s="117">
        <f>SUM($AL$27:AL34)</f>
        <v>59.555625771751473</v>
      </c>
      <c r="AP34" s="117">
        <f>SUM($AN$27:AN34)</f>
        <v>1270.5133908224288</v>
      </c>
      <c r="AQ34" s="117">
        <f t="shared" si="25"/>
        <v>21.333222082019681</v>
      </c>
      <c r="AR34" s="117">
        <f>SUM(AL34:$AL$40)</f>
        <v>62.436210086537741</v>
      </c>
      <c r="AS34" s="130">
        <f>SUM(AN34:$AN$40)</f>
        <v>2227.3815369422882</v>
      </c>
      <c r="AT34" s="114">
        <f t="shared" si="26"/>
        <v>35.674515379058022</v>
      </c>
      <c r="AU34" s="114">
        <f t="shared" si="27"/>
        <v>48.559707842606869</v>
      </c>
      <c r="AV34" s="135"/>
    </row>
    <row r="35" spans="2:48" x14ac:dyDescent="0.25">
      <c r="B35" s="68"/>
      <c r="C35" s="69"/>
      <c r="D35" s="70"/>
      <c r="E35" s="279">
        <f t="shared" si="28"/>
        <v>1.5</v>
      </c>
      <c r="F35" s="276">
        <v>1.6</v>
      </c>
      <c r="G35" s="284">
        <v>432.1</v>
      </c>
      <c r="H35" s="72">
        <f t="shared" si="16"/>
        <v>14.5019465700094</v>
      </c>
      <c r="I35" s="72">
        <v>31.65</v>
      </c>
      <c r="J35" s="72">
        <v>0.79</v>
      </c>
      <c r="K35" s="72">
        <v>18.57</v>
      </c>
      <c r="L35" s="72">
        <v>0.52</v>
      </c>
      <c r="M35" s="105">
        <v>1</v>
      </c>
      <c r="N35" s="125">
        <f t="shared" si="17"/>
        <v>0.625</v>
      </c>
      <c r="O35" s="144"/>
      <c r="P35" s="144">
        <v>63</v>
      </c>
      <c r="Q35" s="276">
        <v>1.6</v>
      </c>
      <c r="R35" s="114">
        <f t="shared" si="15"/>
        <v>14.5019465700094</v>
      </c>
      <c r="S35" s="114">
        <f t="shared" si="29"/>
        <v>31.902026005443002</v>
      </c>
      <c r="T35" s="117">
        <f t="shared" si="18"/>
        <v>462.64147660598479</v>
      </c>
      <c r="U35" s="117">
        <f>SUM($R$27:R35)</f>
        <v>85.84709356960667</v>
      </c>
      <c r="V35" s="117">
        <f>SUM($T$27:T35)</f>
        <v>1932.6060735320511</v>
      </c>
      <c r="W35" s="117">
        <f t="shared" si="19"/>
        <v>22.512189908503455</v>
      </c>
      <c r="X35" s="117">
        <f>SUM(R35:$R$40)</f>
        <v>28.654853000402738</v>
      </c>
      <c r="Y35" s="130">
        <f>SUM(T35:$T$40)</f>
        <v>1147.520062471476</v>
      </c>
      <c r="Z35" s="114">
        <f t="shared" si="20"/>
        <v>40.046272875849262</v>
      </c>
      <c r="AA35" s="114">
        <f t="shared" si="21"/>
        <v>78.596120284601966</v>
      </c>
      <c r="AB35" s="135">
        <f>SUM(R34:R36)</f>
        <v>45.16378037320446</v>
      </c>
      <c r="AJ35" s="144">
        <v>63</v>
      </c>
      <c r="AK35" s="276">
        <v>1.6</v>
      </c>
      <c r="AL35" s="114">
        <f t="shared" si="22"/>
        <v>16.373510031711351</v>
      </c>
      <c r="AM35" s="114">
        <f t="shared" si="23"/>
        <v>31.5283226507213</v>
      </c>
      <c r="AN35" s="117">
        <f t="shared" si="24"/>
        <v>516.22930720461738</v>
      </c>
      <c r="AO35" s="117">
        <f>SUM($AL$27:AL35)</f>
        <v>75.929135803462827</v>
      </c>
      <c r="AP35" s="117">
        <f>SUM($AN$27:AN35)</f>
        <v>1786.7426980270461</v>
      </c>
      <c r="AQ35" s="117">
        <f t="shared" si="25"/>
        <v>23.531713868730215</v>
      </c>
      <c r="AR35" s="117">
        <f>SUM(AL35:$AL$40)</f>
        <v>40.44437422824852</v>
      </c>
      <c r="AS35" s="130">
        <f>SUM(AN35:$AN$40)</f>
        <v>1661.6076856526993</v>
      </c>
      <c r="AT35" s="114">
        <f t="shared" si="26"/>
        <v>41.083777839542968</v>
      </c>
      <c r="AU35" s="114">
        <f t="shared" si="27"/>
        <v>67.742380787607146</v>
      </c>
      <c r="AV35" s="135">
        <f>SUM(AL34:AL36)</f>
        <v>51.875490964188145</v>
      </c>
    </row>
    <row r="36" spans="2:48" x14ac:dyDescent="0.25">
      <c r="B36" s="68"/>
      <c r="C36" s="69"/>
      <c r="D36" s="70"/>
      <c r="E36" s="279">
        <f t="shared" si="28"/>
        <v>1.6</v>
      </c>
      <c r="F36" s="276">
        <v>1.7</v>
      </c>
      <c r="G36" s="284">
        <v>228.5</v>
      </c>
      <c r="H36" s="72">
        <f t="shared" si="16"/>
        <v>7.6688146059873823</v>
      </c>
      <c r="I36" s="72">
        <v>39.15</v>
      </c>
      <c r="J36" s="72">
        <v>0.86</v>
      </c>
      <c r="K36" s="72">
        <v>17.34</v>
      </c>
      <c r="L36" s="72">
        <v>0.44</v>
      </c>
      <c r="M36" s="105">
        <v>1</v>
      </c>
      <c r="N36" s="125">
        <f t="shared" si="17"/>
        <v>0.58823529411764708</v>
      </c>
      <c r="O36" s="144"/>
      <c r="P36" s="144">
        <v>70</v>
      </c>
      <c r="Q36" s="276">
        <v>1.7</v>
      </c>
      <c r="R36" s="114">
        <f t="shared" si="15"/>
        <v>7.6688146059873823</v>
      </c>
      <c r="S36" s="114">
        <f t="shared" si="29"/>
        <v>39.48961065160379</v>
      </c>
      <c r="T36" s="117">
        <f t="shared" si="18"/>
        <v>302.83850294977407</v>
      </c>
      <c r="U36" s="117">
        <f>SUM($R$27:R36)</f>
        <v>93.515908175594049</v>
      </c>
      <c r="V36" s="117">
        <f>SUM($T$27:T36)</f>
        <v>2235.4445764818252</v>
      </c>
      <c r="W36" s="117">
        <f t="shared" si="19"/>
        <v>23.904431022413313</v>
      </c>
      <c r="X36" s="117">
        <f>SUM(R36:$R$40)</f>
        <v>14.152906430393342</v>
      </c>
      <c r="Y36" s="130">
        <f>SUM(T36:$T$40)</f>
        <v>684.87858586549123</v>
      </c>
      <c r="Z36" s="114">
        <f t="shared" si="20"/>
        <v>48.391373830799566</v>
      </c>
      <c r="AA36" s="114">
        <f t="shared" si="21"/>
        <v>89.681500872600353</v>
      </c>
      <c r="AB36" s="135">
        <f>SUM(R36:R37)</f>
        <v>9.1522351993556192</v>
      </c>
      <c r="AJ36" s="144">
        <v>70</v>
      </c>
      <c r="AK36" s="276">
        <v>1.7</v>
      </c>
      <c r="AL36" s="114">
        <f t="shared" si="22"/>
        <v>13.510145074187575</v>
      </c>
      <c r="AM36" s="114">
        <f t="shared" si="23"/>
        <v>39.306253081993383</v>
      </c>
      <c r="AN36" s="117">
        <f t="shared" si="24"/>
        <v>531.03318146046308</v>
      </c>
      <c r="AO36" s="117">
        <f>SUM($AL$27:AL36)</f>
        <v>89.439280877650404</v>
      </c>
      <c r="AP36" s="117">
        <f>SUM($AN$27:AN36)</f>
        <v>2317.775879487509</v>
      </c>
      <c r="AQ36" s="117">
        <f t="shared" si="25"/>
        <v>25.914518282611638</v>
      </c>
      <c r="AR36" s="117">
        <f>SUM(AL36:$AL$40)</f>
        <v>24.070864196537176</v>
      </c>
      <c r="AS36" s="130">
        <f>SUM(AN36:$AN$40)</f>
        <v>1145.3783784480815</v>
      </c>
      <c r="AT36" s="114">
        <f t="shared" si="26"/>
        <v>47.583600202142108</v>
      </c>
      <c r="AU36" s="114">
        <f t="shared" si="27"/>
        <v>82.684208340556623</v>
      </c>
      <c r="AV36" s="135">
        <f>SUM(AL36:AL37)</f>
        <v>16.207561482629394</v>
      </c>
    </row>
    <row r="37" spans="2:48" x14ac:dyDescent="0.25">
      <c r="B37" s="68"/>
      <c r="C37" s="69"/>
      <c r="D37" s="70"/>
      <c r="E37" s="279">
        <f t="shared" si="28"/>
        <v>1.7</v>
      </c>
      <c r="F37" s="276">
        <v>1.8</v>
      </c>
      <c r="G37" s="284">
        <v>44.2</v>
      </c>
      <c r="H37" s="72">
        <f t="shared" si="16"/>
        <v>1.4834205933682378</v>
      </c>
      <c r="I37" s="72">
        <v>46.87</v>
      </c>
      <c r="J37" s="72">
        <v>0.98</v>
      </c>
      <c r="K37" s="72">
        <v>16.899999999999999</v>
      </c>
      <c r="L37" s="72">
        <v>0.39</v>
      </c>
      <c r="M37" s="105">
        <v>0.5</v>
      </c>
      <c r="N37" s="125">
        <f t="shared" si="17"/>
        <v>0.55555555555555558</v>
      </c>
      <c r="O37" s="144"/>
      <c r="P37" s="144">
        <v>77</v>
      </c>
      <c r="Q37" s="276">
        <v>1.8</v>
      </c>
      <c r="R37" s="114">
        <f t="shared" si="15"/>
        <v>1.4834205933682378</v>
      </c>
      <c r="S37" s="114">
        <f t="shared" si="29"/>
        <v>47.333871945061603</v>
      </c>
      <c r="T37" s="117">
        <f t="shared" si="18"/>
        <v>70.216040407159468</v>
      </c>
      <c r="U37" s="117">
        <f>SUM($R$27:R37)</f>
        <v>94.999328768962286</v>
      </c>
      <c r="V37" s="117">
        <f>SUM($T$27:T37)</f>
        <v>2305.6606168889848</v>
      </c>
      <c r="W37" s="117">
        <f t="shared" si="19"/>
        <v>24.270283240593578</v>
      </c>
      <c r="X37" s="117">
        <f>SUM(R37:$R$40)</f>
        <v>6.4840918244059615</v>
      </c>
      <c r="Y37" s="130">
        <f>SUM(T37:$T$40)</f>
        <v>382.04008291571728</v>
      </c>
      <c r="Z37" s="114">
        <f t="shared" si="20"/>
        <v>58.919597880728311</v>
      </c>
      <c r="AA37" s="114">
        <f t="shared" si="21"/>
        <v>94.257618472278168</v>
      </c>
      <c r="AB37" s="135">
        <f>SUM(R37:R38)</f>
        <v>3.4669083098402478</v>
      </c>
      <c r="AJ37" s="144">
        <v>77</v>
      </c>
      <c r="AK37" s="276">
        <v>1.8</v>
      </c>
      <c r="AL37" s="114">
        <f t="shared" si="22"/>
        <v>2.6974164084418204</v>
      </c>
      <c r="AM37" s="114">
        <f t="shared" si="23"/>
        <v>44.331987401682824</v>
      </c>
      <c r="AN37" s="117">
        <f t="shared" si="24"/>
        <v>119.58183023613532</v>
      </c>
      <c r="AO37" s="117">
        <f>SUM($AL$27:AL37)</f>
        <v>92.136697286092229</v>
      </c>
      <c r="AP37" s="117">
        <f>SUM($AN$27:AN37)</f>
        <v>2437.3577097236443</v>
      </c>
      <c r="AQ37" s="117">
        <f t="shared" si="25"/>
        <v>26.453712597874468</v>
      </c>
      <c r="AR37" s="117">
        <f>SUM(AL37:$AL$40)</f>
        <v>10.560719122349598</v>
      </c>
      <c r="AS37" s="130">
        <f>SUM(AN37:$AN$40)</f>
        <v>614.34519698761858</v>
      </c>
      <c r="AT37" s="114">
        <f t="shared" si="26"/>
        <v>58.172667019188388</v>
      </c>
      <c r="AU37" s="114">
        <f t="shared" si="27"/>
        <v>90.787989081871316</v>
      </c>
      <c r="AV37" s="135">
        <f>SUM(AL37:AL38)</f>
        <v>4.792626608127561</v>
      </c>
    </row>
    <row r="38" spans="2:48" x14ac:dyDescent="0.25">
      <c r="B38" s="68"/>
      <c r="C38" s="69"/>
      <c r="D38" s="70"/>
      <c r="E38" s="279">
        <f t="shared" si="28"/>
        <v>1.8</v>
      </c>
      <c r="F38" s="276">
        <v>2</v>
      </c>
      <c r="G38" s="284">
        <v>59.1</v>
      </c>
      <c r="H38" s="72">
        <f t="shared" si="16"/>
        <v>1.9834877164720099</v>
      </c>
      <c r="I38" s="72">
        <v>54.45</v>
      </c>
      <c r="J38" s="72">
        <v>1.89</v>
      </c>
      <c r="K38" s="72">
        <v>17.36</v>
      </c>
      <c r="L38" s="72">
        <v>0.51</v>
      </c>
      <c r="M38" s="105">
        <v>0</v>
      </c>
      <c r="N38" s="125">
        <f t="shared" si="17"/>
        <v>0.5</v>
      </c>
      <c r="O38" s="145"/>
      <c r="P38" s="144">
        <v>84</v>
      </c>
      <c r="Q38" s="276">
        <v>2</v>
      </c>
      <c r="R38" s="114">
        <f t="shared" si="15"/>
        <v>1.9834877164720099</v>
      </c>
      <c r="S38" s="114">
        <f t="shared" si="29"/>
        <v>55.498929772704109</v>
      </c>
      <c r="T38" s="117">
        <f t="shared" si="18"/>
        <v>110.08144548150132</v>
      </c>
      <c r="U38" s="117">
        <f>SUM($R$27:R38)</f>
        <v>96.982816485434299</v>
      </c>
      <c r="V38" s="117">
        <f>SUM($T$27:T38)</f>
        <v>2415.7420623704861</v>
      </c>
      <c r="W38" s="117">
        <f t="shared" si="19"/>
        <v>24.908969958954561</v>
      </c>
      <c r="X38" s="117">
        <f>SUM(R38:$R$40)</f>
        <v>5.0006712310377246</v>
      </c>
      <c r="Y38" s="130">
        <f>SUM(T38:$T$40)</f>
        <v>311.8240425085578</v>
      </c>
      <c r="Z38" s="114">
        <f t="shared" si="20"/>
        <v>62.356437386476415</v>
      </c>
      <c r="AA38" s="114">
        <f t="shared" si="21"/>
        <v>95.991072627198292</v>
      </c>
      <c r="AB38" s="134"/>
      <c r="AJ38" s="144">
        <v>84</v>
      </c>
      <c r="AK38" s="276">
        <v>2</v>
      </c>
      <c r="AL38" s="114">
        <f t="shared" si="22"/>
        <v>2.0952101996857402</v>
      </c>
      <c r="AM38" s="114">
        <f t="shared" si="23"/>
        <v>52.688466184083026</v>
      </c>
      <c r="AN38" s="117">
        <f t="shared" si="24"/>
        <v>110.39341175468796</v>
      </c>
      <c r="AO38" s="117">
        <f>SUM($AL$27:AL38)</f>
        <v>94.231907485777967</v>
      </c>
      <c r="AP38" s="117">
        <f>SUM($AN$27:AN38)</f>
        <v>2547.7511214783322</v>
      </c>
      <c r="AQ38" s="117">
        <f t="shared" si="25"/>
        <v>27.037032247944826</v>
      </c>
      <c r="AR38" s="117">
        <f>SUM(AL38:$AL$40)</f>
        <v>7.8633027139077782</v>
      </c>
      <c r="AS38" s="130">
        <f>SUM(AN38:$AN$40)</f>
        <v>494.76336675148326</v>
      </c>
      <c r="AT38" s="114">
        <f t="shared" si="26"/>
        <v>62.920554473427323</v>
      </c>
      <c r="AU38" s="114">
        <f t="shared" si="27"/>
        <v>93.184302385935098</v>
      </c>
      <c r="AV38" s="134"/>
    </row>
    <row r="39" spans="2:48" x14ac:dyDescent="0.25">
      <c r="B39" s="68"/>
      <c r="C39" s="69"/>
      <c r="D39" s="70"/>
      <c r="E39" s="279">
        <f t="shared" si="28"/>
        <v>2</v>
      </c>
      <c r="F39" s="276">
        <v>2.2000000000000002</v>
      </c>
      <c r="G39" s="284">
        <v>30.2</v>
      </c>
      <c r="H39" s="72">
        <f t="shared" si="16"/>
        <v>1.0135588669620084</v>
      </c>
      <c r="I39" s="72">
        <v>56.47</v>
      </c>
      <c r="J39" s="72">
        <v>1.78</v>
      </c>
      <c r="K39" s="72">
        <v>20.79</v>
      </c>
      <c r="L39" s="72">
        <v>0.59</v>
      </c>
      <c r="M39" s="105">
        <v>0</v>
      </c>
      <c r="N39" s="125">
        <f t="shared" si="17"/>
        <v>0.45454545454545453</v>
      </c>
      <c r="O39" s="145"/>
      <c r="P39" s="144">
        <v>91</v>
      </c>
      <c r="Q39" s="276">
        <v>2.2000000000000002</v>
      </c>
      <c r="R39" s="114">
        <f t="shared" si="15"/>
        <v>1.0135588669620084</v>
      </c>
      <c r="S39" s="114">
        <f t="shared" si="29"/>
        <v>57.493382203217266</v>
      </c>
      <c r="T39" s="117">
        <f t="shared" si="18"/>
        <v>58.27292732370659</v>
      </c>
      <c r="U39" s="117">
        <f>SUM($R$27:R39)</f>
        <v>97.996375352396313</v>
      </c>
      <c r="V39" s="117">
        <f>SUM($T$27:T39)</f>
        <v>2474.0149896941925</v>
      </c>
      <c r="W39" s="117">
        <f t="shared" si="19"/>
        <v>25.245984668285949</v>
      </c>
      <c r="X39" s="117">
        <f>SUM(R39:$R$40)</f>
        <v>3.0171835145657138</v>
      </c>
      <c r="Y39" s="130">
        <f>SUM(T39:$T$40)</f>
        <v>201.74259702705649</v>
      </c>
      <c r="Z39" s="114">
        <f t="shared" si="20"/>
        <v>66.86454305915656</v>
      </c>
      <c r="AA39" s="114">
        <f t="shared" si="21"/>
        <v>97.489595918915313</v>
      </c>
      <c r="AB39" s="134"/>
      <c r="AJ39" s="144">
        <v>91</v>
      </c>
      <c r="AK39" s="276">
        <v>2.2000000000000002</v>
      </c>
      <c r="AL39" s="114">
        <f t="shared" si="22"/>
        <v>1.8335523011343666</v>
      </c>
      <c r="AM39" s="114">
        <f t="shared" si="23"/>
        <v>60.290356114273848</v>
      </c>
      <c r="AN39" s="117">
        <f t="shared" si="24"/>
        <v>110.54552118953724</v>
      </c>
      <c r="AO39" s="117">
        <f>SUM($AL$27:AL39)</f>
        <v>96.065459786912328</v>
      </c>
      <c r="AP39" s="117">
        <f>SUM($AN$27:AN39)</f>
        <v>2658.2966426678695</v>
      </c>
      <c r="AQ39" s="117">
        <f t="shared" si="25"/>
        <v>27.671721434159291</v>
      </c>
      <c r="AR39" s="117">
        <f>SUM(AL39:$AL$40)</f>
        <v>5.7680925142220376</v>
      </c>
      <c r="AS39" s="130">
        <f>SUM(AN39:$AN$40)</f>
        <v>384.36995499679529</v>
      </c>
      <c r="AT39" s="114">
        <f t="shared" si="26"/>
        <v>66.63727290245042</v>
      </c>
      <c r="AU39" s="114">
        <f t="shared" si="27"/>
        <v>95.14868363634514</v>
      </c>
      <c r="AV39" s="134"/>
    </row>
    <row r="40" spans="2:48" x14ac:dyDescent="0.25">
      <c r="B40" s="68"/>
      <c r="C40" s="69"/>
      <c r="D40" s="70"/>
      <c r="E40" s="279">
        <f t="shared" si="28"/>
        <v>2.2000000000000002</v>
      </c>
      <c r="F40" s="276">
        <v>2.8</v>
      </c>
      <c r="G40" s="284">
        <v>59.7</v>
      </c>
      <c r="H40" s="72">
        <f t="shared" si="16"/>
        <v>2.0036246476037056</v>
      </c>
      <c r="I40" s="72">
        <v>70.709999999999994</v>
      </c>
      <c r="J40" s="72">
        <v>1.25</v>
      </c>
      <c r="K40" s="72">
        <v>18.82</v>
      </c>
      <c r="L40" s="72">
        <v>6.5000000000000002E-2</v>
      </c>
      <c r="M40" s="105">
        <v>0</v>
      </c>
      <c r="N40" s="125">
        <f t="shared" si="17"/>
        <v>0.35714285714285715</v>
      </c>
      <c r="O40" s="145"/>
      <c r="P40" s="144">
        <v>98</v>
      </c>
      <c r="Q40" s="281">
        <v>2.8</v>
      </c>
      <c r="R40" s="115">
        <f t="shared" si="15"/>
        <v>2.0036246476037056</v>
      </c>
      <c r="S40" s="115">
        <f t="shared" si="29"/>
        <v>71.605063291139231</v>
      </c>
      <c r="T40" s="118">
        <f t="shared" si="18"/>
        <v>143.46966970334989</v>
      </c>
      <c r="U40" s="118">
        <f>SUM($R$27:R40)</f>
        <v>100.00000000000001</v>
      </c>
      <c r="V40" s="118">
        <f>SUM($T$27:T40)</f>
        <v>2617.4846593975426</v>
      </c>
      <c r="W40" s="118">
        <f t="shared" si="19"/>
        <v>26.174846593975424</v>
      </c>
      <c r="X40" s="118">
        <f>SUM(R40:$R$40)</f>
        <v>2.0036246476037056</v>
      </c>
      <c r="Y40" s="131">
        <f>SUM(T40:$T$40)</f>
        <v>143.46966970334989</v>
      </c>
      <c r="Z40" s="115">
        <f t="shared" si="20"/>
        <v>71.605063291139231</v>
      </c>
      <c r="AA40" s="115">
        <f t="shared" si="21"/>
        <v>98.998187676198157</v>
      </c>
      <c r="AB40" s="136"/>
      <c r="AJ40" s="144">
        <v>98</v>
      </c>
      <c r="AK40" s="281">
        <v>2.8</v>
      </c>
      <c r="AL40" s="115">
        <f t="shared" si="22"/>
        <v>3.9345402130876708</v>
      </c>
      <c r="AM40" s="115">
        <f t="shared" si="23"/>
        <v>69.595027367218478</v>
      </c>
      <c r="AN40" s="118">
        <f t="shared" si="24"/>
        <v>273.82443380725806</v>
      </c>
      <c r="AO40" s="118">
        <f>SUM($AL$27:AL40)</f>
        <v>100</v>
      </c>
      <c r="AP40" s="118">
        <f>SUM($AN$27:AN40)</f>
        <v>2932.1210764751277</v>
      </c>
      <c r="AQ40" s="118">
        <f t="shared" si="25"/>
        <v>29.321210764751278</v>
      </c>
      <c r="AR40" s="118">
        <f>SUM(AL40:$AL$40)</f>
        <v>3.9345402130876708</v>
      </c>
      <c r="AS40" s="131">
        <f>SUM(AN40:$AN$40)</f>
        <v>273.82443380725806</v>
      </c>
      <c r="AT40" s="115">
        <f t="shared" si="26"/>
        <v>69.595027367218478</v>
      </c>
      <c r="AU40" s="115">
        <f t="shared" si="27"/>
        <v>98.032729893456164</v>
      </c>
      <c r="AV40" s="136"/>
    </row>
    <row r="41" spans="2:48" x14ac:dyDescent="0.25">
      <c r="B41" s="292" t="s">
        <v>82</v>
      </c>
      <c r="C41" s="293"/>
      <c r="D41" s="293"/>
      <c r="E41" s="73"/>
      <c r="F41" s="74"/>
      <c r="G41" s="75">
        <f>SUM(G27:G40)</f>
        <v>2979.5999999999995</v>
      </c>
      <c r="H41" s="76">
        <f>SUM(H27:H40)</f>
        <v>100.00000000000001</v>
      </c>
      <c r="I41" s="77">
        <f>SUMPRODUCT($H$27:$H$40,I27:I40)/$H$41</f>
        <v>25.945711169284465</v>
      </c>
      <c r="J41" s="77">
        <f>SUMPRODUCT($H$27:$H$40,J27:J40)/$H$41</f>
        <v>0.82325412807088216</v>
      </c>
      <c r="K41" s="77">
        <f>SUMPRODUCT($H$27:$H$40,K27:K40)/$H$41</f>
        <v>20.73085548395758</v>
      </c>
      <c r="L41" s="77">
        <f>SUMPRODUCT($H$27:$H$40,L27:L40)/$H$41</f>
        <v>0.52649835548395751</v>
      </c>
      <c r="M41" s="106">
        <f>SUMPRODUCT($H$27:$H$40,M27:M40)/$H$41</f>
        <v>2.5615015438313868</v>
      </c>
      <c r="N41" s="124"/>
      <c r="O41" s="124"/>
      <c r="P41" s="139"/>
      <c r="Q41" s="140"/>
    </row>
    <row r="42" spans="2:48" ht="34.15" customHeight="1" x14ac:dyDescent="0.25">
      <c r="B42" s="65" t="s">
        <v>85</v>
      </c>
      <c r="C42" s="66" t="s">
        <v>86</v>
      </c>
      <c r="D42" s="148">
        <f>Pretreatment!R43+Pretreatment!R44</f>
        <v>30.753138075313803</v>
      </c>
      <c r="E42" s="67"/>
      <c r="F42" s="67"/>
      <c r="G42" s="104"/>
      <c r="H42" s="67"/>
      <c r="I42" s="67"/>
      <c r="J42" s="67"/>
      <c r="K42" s="67"/>
      <c r="L42" s="67"/>
      <c r="M42" s="67"/>
      <c r="N42" s="122" t="s">
        <v>146</v>
      </c>
      <c r="O42" s="122"/>
      <c r="P42" s="142"/>
      <c r="Q42" s="301" t="s">
        <v>149</v>
      </c>
      <c r="R42" s="302"/>
      <c r="S42" s="302"/>
      <c r="T42" s="302"/>
      <c r="U42" s="302"/>
      <c r="V42" s="302"/>
      <c r="W42" s="302"/>
      <c r="X42" s="302"/>
      <c r="Y42" s="302"/>
      <c r="Z42" s="302"/>
      <c r="AA42" s="303"/>
      <c r="AB42" s="151">
        <f>D42</f>
        <v>30.753138075313803</v>
      </c>
      <c r="AJ42" s="137"/>
      <c r="AK42" s="301" t="s">
        <v>157</v>
      </c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152">
        <f>AB42</f>
        <v>30.753138075313803</v>
      </c>
    </row>
    <row r="43" spans="2:48" x14ac:dyDescent="0.25">
      <c r="B43" s="68"/>
      <c r="C43" s="69"/>
      <c r="D43" s="70"/>
      <c r="E43" s="278">
        <v>1.25</v>
      </c>
      <c r="F43" s="276">
        <v>1.3</v>
      </c>
      <c r="G43" s="107">
        <v>198.5</v>
      </c>
      <c r="H43" s="72">
        <f>G43/$G$57*100</f>
        <v>6.6472439890161397</v>
      </c>
      <c r="I43" s="72">
        <v>5.3</v>
      </c>
      <c r="J43" s="72">
        <v>0.83</v>
      </c>
      <c r="K43" s="72">
        <v>29.92</v>
      </c>
      <c r="L43" s="72">
        <v>0.69</v>
      </c>
      <c r="M43" s="105">
        <v>8</v>
      </c>
      <c r="N43" s="125">
        <f>1/Q43</f>
        <v>0.76923076923076916</v>
      </c>
      <c r="O43" s="123"/>
      <c r="P43" s="144">
        <v>7</v>
      </c>
      <c r="Q43" s="280">
        <v>1.3</v>
      </c>
      <c r="R43" s="113">
        <f t="shared" ref="R43:R56" si="30">H43</f>
        <v>6.6472439890161397</v>
      </c>
      <c r="S43" s="146">
        <f t="shared" ref="S43:S56" si="31">I43*100/(100-J43)</f>
        <v>5.3443581728345269</v>
      </c>
      <c r="T43" s="116">
        <f>R43*S43</f>
        <v>35.525252739523587</v>
      </c>
      <c r="U43" s="116">
        <f>SUM($R$43:R43)</f>
        <v>6.6472439890161397</v>
      </c>
      <c r="V43" s="116">
        <f>SUM($T$43:T43)</f>
        <v>35.525252739523587</v>
      </c>
      <c r="W43" s="116">
        <f>V43/U43</f>
        <v>5.3443581728345269</v>
      </c>
      <c r="X43" s="116">
        <f>SUM(R43:$R$56)</f>
        <v>99.999999999999986</v>
      </c>
      <c r="Y43" s="129">
        <f>SUM(T43:$T$56)</f>
        <v>2539.1274760915289</v>
      </c>
      <c r="Z43" s="113">
        <f>Y43/X43</f>
        <v>25.391274760915294</v>
      </c>
      <c r="AA43" s="133">
        <f>U43-R43/2</f>
        <v>3.3236219945080698</v>
      </c>
      <c r="AB43" s="67"/>
      <c r="AJ43" s="144">
        <v>7</v>
      </c>
      <c r="AK43" s="280">
        <v>1.3</v>
      </c>
      <c r="AL43" s="113">
        <f>R43</f>
        <v>6.6472439890161397</v>
      </c>
      <c r="AM43" s="146">
        <f>S43</f>
        <v>5.3443581728345269</v>
      </c>
      <c r="AN43" s="116">
        <f>AL43*AM43</f>
        <v>35.525252739523587</v>
      </c>
      <c r="AO43" s="116">
        <f>SUM($AL$43:AL43)</f>
        <v>6.6472439890161397</v>
      </c>
      <c r="AP43" s="116">
        <f>SUM($AN$43:AN43)</f>
        <v>35.525252739523587</v>
      </c>
      <c r="AQ43" s="116">
        <f>AP43/AO43</f>
        <v>5.3443581728345269</v>
      </c>
      <c r="AR43" s="116">
        <f>SUM(AL43:$AL$56)</f>
        <v>99.999999999999986</v>
      </c>
      <c r="AS43" s="129">
        <f>SUM(AN43:$AN$56)</f>
        <v>2539.1274760915289</v>
      </c>
      <c r="AT43" s="113">
        <f>AS43/AR43</f>
        <v>25.391274760915294</v>
      </c>
      <c r="AU43" s="133">
        <f>AO43-AL43/2</f>
        <v>3.3236219945080698</v>
      </c>
      <c r="AV43" s="67"/>
    </row>
    <row r="44" spans="2:48" x14ac:dyDescent="0.25">
      <c r="B44" s="68"/>
      <c r="C44" s="69"/>
      <c r="D44" s="70"/>
      <c r="E44" s="279">
        <f>F43</f>
        <v>1.3</v>
      </c>
      <c r="F44" s="276">
        <v>1.325</v>
      </c>
      <c r="G44" s="107">
        <v>127.4</v>
      </c>
      <c r="H44" s="72">
        <f t="shared" ref="H44:H56" si="32">G44/$G$57*100</f>
        <v>4.2662916080637592</v>
      </c>
      <c r="I44" s="72">
        <v>8.67</v>
      </c>
      <c r="J44" s="72">
        <v>0.89</v>
      </c>
      <c r="K44" s="72">
        <v>27.97</v>
      </c>
      <c r="L44" s="72">
        <v>0.67</v>
      </c>
      <c r="M44" s="105">
        <v>7</v>
      </c>
      <c r="N44" s="125">
        <f t="shared" ref="N44:N56" si="33">1/Q44</f>
        <v>0.75471698113207553</v>
      </c>
      <c r="O44" s="123"/>
      <c r="P44" s="144">
        <v>14</v>
      </c>
      <c r="Q44" s="276">
        <v>1.325</v>
      </c>
      <c r="R44" s="114">
        <f t="shared" si="30"/>
        <v>4.2662916080637592</v>
      </c>
      <c r="S44" s="147">
        <f t="shared" si="31"/>
        <v>8.7478559176672377</v>
      </c>
      <c r="T44" s="117">
        <f t="shared" ref="T44:T56" si="34">R44*S44</f>
        <v>37.320904290094632</v>
      </c>
      <c r="U44" s="117">
        <f>SUM($R$43:R44)</f>
        <v>10.9135355970799</v>
      </c>
      <c r="V44" s="117">
        <f>SUM($T$43:T44)</f>
        <v>72.846157029618212</v>
      </c>
      <c r="W44" s="117">
        <f t="shared" ref="W44:W56" si="35">V44/U44</f>
        <v>6.6748448641253733</v>
      </c>
      <c r="X44" s="117">
        <f>SUM(R44:$R$56)</f>
        <v>93.352756010983839</v>
      </c>
      <c r="Y44" s="130">
        <f>SUM(T44:$T$56)</f>
        <v>2503.6022233520052</v>
      </c>
      <c r="Z44" s="114">
        <f t="shared" ref="Z44:Z56" si="36">Y44/X44</f>
        <v>26.818728555345839</v>
      </c>
      <c r="AA44" s="114">
        <f t="shared" ref="AA44:AA56" si="37">U44-R44/2</f>
        <v>8.7803897930480197</v>
      </c>
      <c r="AB44" s="134"/>
      <c r="AJ44" s="144">
        <v>14</v>
      </c>
      <c r="AK44" s="276">
        <v>1.325</v>
      </c>
      <c r="AL44" s="114">
        <f t="shared" ref="AL44:AL56" si="38">R44</f>
        <v>4.2662916080637592</v>
      </c>
      <c r="AM44" s="147">
        <f t="shared" ref="AM44:AM56" si="39">S44</f>
        <v>8.7478559176672377</v>
      </c>
      <c r="AN44" s="117">
        <f t="shared" ref="AN44:AN56" si="40">AL44*AM44</f>
        <v>37.320904290094632</v>
      </c>
      <c r="AO44" s="117">
        <f>SUM($AL$43:AL44)</f>
        <v>10.9135355970799</v>
      </c>
      <c r="AP44" s="117">
        <f>SUM($AN$43:AN44)</f>
        <v>72.846157029618212</v>
      </c>
      <c r="AQ44" s="117">
        <f t="shared" ref="AQ44:AQ56" si="41">AP44/AO44</f>
        <v>6.6748448641253733</v>
      </c>
      <c r="AR44" s="117">
        <f>SUM(AL44:$AL$56)</f>
        <v>93.352756010983839</v>
      </c>
      <c r="AS44" s="130">
        <f>SUM(AN44:$AN$56)</f>
        <v>2503.6022233520052</v>
      </c>
      <c r="AT44" s="114">
        <f t="shared" ref="AT44:AT56" si="42">AS44/AR44</f>
        <v>26.818728555345839</v>
      </c>
      <c r="AU44" s="114">
        <f t="shared" ref="AU44:AU56" si="43">AO44-AL44/2</f>
        <v>8.7803897930480197</v>
      </c>
      <c r="AV44" s="134"/>
    </row>
    <row r="45" spans="2:48" x14ac:dyDescent="0.25">
      <c r="B45" s="68"/>
      <c r="C45" s="69"/>
      <c r="D45" s="70"/>
      <c r="E45" s="279">
        <f t="shared" ref="E45:E56" si="44">F44</f>
        <v>1.325</v>
      </c>
      <c r="F45" s="276">
        <v>1.35</v>
      </c>
      <c r="G45" s="107">
        <v>205</v>
      </c>
      <c r="H45" s="72">
        <f t="shared" si="32"/>
        <v>6.8649119282030675</v>
      </c>
      <c r="I45" s="72">
        <v>11.36</v>
      </c>
      <c r="J45" s="72">
        <v>0.88</v>
      </c>
      <c r="K45" s="72">
        <v>26.65</v>
      </c>
      <c r="L45" s="72">
        <v>0.63500000000000001</v>
      </c>
      <c r="M45" s="105">
        <v>6</v>
      </c>
      <c r="N45" s="125">
        <f t="shared" si="33"/>
        <v>0.7407407407407407</v>
      </c>
      <c r="O45" s="123"/>
      <c r="P45" s="144">
        <v>21</v>
      </c>
      <c r="Q45" s="276">
        <v>1.35</v>
      </c>
      <c r="R45" s="114">
        <f t="shared" si="30"/>
        <v>6.8649119282030675</v>
      </c>
      <c r="S45" s="147">
        <f t="shared" si="31"/>
        <v>11.460855528652138</v>
      </c>
      <c r="T45" s="117">
        <f t="shared" si="34"/>
        <v>78.677763826056136</v>
      </c>
      <c r="U45" s="117">
        <f>SUM($R$43:R45)</f>
        <v>17.778447525282967</v>
      </c>
      <c r="V45" s="117">
        <f>SUM($T$43:T45)</f>
        <v>151.52392085567436</v>
      </c>
      <c r="W45" s="117">
        <f t="shared" si="35"/>
        <v>8.5228994624075121</v>
      </c>
      <c r="X45" s="117">
        <f>SUM(R45:$R$56)</f>
        <v>89.086464402920086</v>
      </c>
      <c r="Y45" s="130">
        <f>SUM(T45:$T$56)</f>
        <v>2466.2813190619104</v>
      </c>
      <c r="Z45" s="114">
        <f t="shared" si="36"/>
        <v>27.684130643095433</v>
      </c>
      <c r="AA45" s="114">
        <f t="shared" si="37"/>
        <v>14.345991561181433</v>
      </c>
      <c r="AB45" s="135">
        <f>SUM(R44:R47)</f>
        <v>28.547987408746899</v>
      </c>
      <c r="AJ45" s="144">
        <v>21</v>
      </c>
      <c r="AK45" s="276">
        <v>1.35</v>
      </c>
      <c r="AL45" s="114">
        <f t="shared" si="38"/>
        <v>6.8649119282030675</v>
      </c>
      <c r="AM45" s="147">
        <f t="shared" si="39"/>
        <v>11.460855528652138</v>
      </c>
      <c r="AN45" s="117">
        <f t="shared" si="40"/>
        <v>78.677763826056136</v>
      </c>
      <c r="AO45" s="117">
        <f>SUM($AL$43:AL45)</f>
        <v>17.778447525282967</v>
      </c>
      <c r="AP45" s="117">
        <f>SUM($AN$43:AN45)</f>
        <v>151.52392085567436</v>
      </c>
      <c r="AQ45" s="117">
        <f t="shared" si="41"/>
        <v>8.5228994624075121</v>
      </c>
      <c r="AR45" s="117">
        <f>SUM(AL45:$AL$56)</f>
        <v>89.086464402920086</v>
      </c>
      <c r="AS45" s="130">
        <f>SUM(AN45:$AN$56)</f>
        <v>2466.2813190619104</v>
      </c>
      <c r="AT45" s="114">
        <f t="shared" si="42"/>
        <v>27.684130643095433</v>
      </c>
      <c r="AU45" s="114">
        <f t="shared" si="43"/>
        <v>14.345991561181433</v>
      </c>
      <c r="AV45" s="135">
        <f>SUM(AL44:AL47)</f>
        <v>28.547987408746899</v>
      </c>
    </row>
    <row r="46" spans="2:48" x14ac:dyDescent="0.25">
      <c r="B46" s="68"/>
      <c r="C46" s="69"/>
      <c r="D46" s="70"/>
      <c r="E46" s="279">
        <f t="shared" si="44"/>
        <v>1.35</v>
      </c>
      <c r="F46" s="276">
        <v>1.375</v>
      </c>
      <c r="G46" s="107">
        <v>257.10000000000002</v>
      </c>
      <c r="H46" s="72">
        <f t="shared" si="32"/>
        <v>8.6096041792244318</v>
      </c>
      <c r="I46" s="72">
        <v>13.62</v>
      </c>
      <c r="J46" s="72">
        <v>0.87</v>
      </c>
      <c r="K46" s="72">
        <v>25.45</v>
      </c>
      <c r="L46" s="72">
        <v>0.57999999999999996</v>
      </c>
      <c r="M46" s="105">
        <v>5.5</v>
      </c>
      <c r="N46" s="125">
        <f t="shared" si="33"/>
        <v>0.72727272727272729</v>
      </c>
      <c r="O46" s="123"/>
      <c r="P46" s="144">
        <v>28</v>
      </c>
      <c r="Q46" s="276">
        <v>1.375</v>
      </c>
      <c r="R46" s="114">
        <f t="shared" si="30"/>
        <v>8.6096041792244318</v>
      </c>
      <c r="S46" s="147">
        <f t="shared" si="31"/>
        <v>13.739533945324322</v>
      </c>
      <c r="T46" s="117">
        <f t="shared" si="34"/>
        <v>118.29194887626022</v>
      </c>
      <c r="U46" s="117">
        <f>SUM($R$43:R46)</f>
        <v>26.388051704507397</v>
      </c>
      <c r="V46" s="117">
        <f>SUM($T$43:T46)</f>
        <v>269.81586973193458</v>
      </c>
      <c r="W46" s="117">
        <f t="shared" si="35"/>
        <v>10.224925763876943</v>
      </c>
      <c r="X46" s="117">
        <f>SUM(R46:$R$56)</f>
        <v>82.221552474717029</v>
      </c>
      <c r="Y46" s="130">
        <f>SUM(T46:$T$56)</f>
        <v>2387.6035552358544</v>
      </c>
      <c r="Z46" s="114">
        <f t="shared" si="36"/>
        <v>29.038658154381576</v>
      </c>
      <c r="AA46" s="114">
        <f t="shared" si="37"/>
        <v>22.08324961489518</v>
      </c>
      <c r="AB46" s="135">
        <f>SUM(R45:R48)</f>
        <v>34.498693992364878</v>
      </c>
      <c r="AJ46" s="144">
        <v>28</v>
      </c>
      <c r="AK46" s="276">
        <v>1.375</v>
      </c>
      <c r="AL46" s="114">
        <f t="shared" si="38"/>
        <v>8.6096041792244318</v>
      </c>
      <c r="AM46" s="147">
        <f t="shared" si="39"/>
        <v>13.739533945324322</v>
      </c>
      <c r="AN46" s="117">
        <f t="shared" si="40"/>
        <v>118.29194887626022</v>
      </c>
      <c r="AO46" s="117">
        <f>SUM($AL$43:AL46)</f>
        <v>26.388051704507397</v>
      </c>
      <c r="AP46" s="117">
        <f>SUM($AN$43:AN46)</f>
        <v>269.81586973193458</v>
      </c>
      <c r="AQ46" s="117">
        <f t="shared" si="41"/>
        <v>10.224925763876943</v>
      </c>
      <c r="AR46" s="117">
        <f>SUM(AL46:$AL$56)</f>
        <v>82.221552474717029</v>
      </c>
      <c r="AS46" s="130">
        <f>SUM(AN46:$AN$56)</f>
        <v>2387.6035552358544</v>
      </c>
      <c r="AT46" s="114">
        <f t="shared" si="42"/>
        <v>29.038658154381576</v>
      </c>
      <c r="AU46" s="114">
        <f t="shared" si="43"/>
        <v>22.08324961489518</v>
      </c>
      <c r="AV46" s="135">
        <f>SUM(AL45:AL48)</f>
        <v>34.498693992364878</v>
      </c>
    </row>
    <row r="47" spans="2:48" x14ac:dyDescent="0.25">
      <c r="B47" s="68"/>
      <c r="C47" s="69"/>
      <c r="D47" s="70"/>
      <c r="E47" s="279">
        <f t="shared" si="44"/>
        <v>1.375</v>
      </c>
      <c r="F47" s="276">
        <v>1.4</v>
      </c>
      <c r="G47" s="107">
        <v>263</v>
      </c>
      <c r="H47" s="72">
        <f t="shared" si="32"/>
        <v>8.807179693255641</v>
      </c>
      <c r="I47" s="72">
        <v>16.149999999999999</v>
      </c>
      <c r="J47" s="72">
        <v>0.9</v>
      </c>
      <c r="K47" s="72">
        <v>23.83</v>
      </c>
      <c r="L47" s="72">
        <v>0.55000000000000004</v>
      </c>
      <c r="M47" s="105">
        <v>5</v>
      </c>
      <c r="N47" s="125">
        <f t="shared" si="33"/>
        <v>0.7142857142857143</v>
      </c>
      <c r="O47" s="123"/>
      <c r="P47" s="144">
        <v>35</v>
      </c>
      <c r="Q47" s="276">
        <v>1.4</v>
      </c>
      <c r="R47" s="114">
        <f t="shared" si="30"/>
        <v>8.807179693255641</v>
      </c>
      <c r="S47" s="147">
        <f t="shared" si="31"/>
        <v>16.296670030272452</v>
      </c>
      <c r="T47" s="117">
        <f t="shared" si="34"/>
        <v>143.52770135830332</v>
      </c>
      <c r="U47" s="117">
        <f>SUM($R$43:R47)</f>
        <v>35.195231397763038</v>
      </c>
      <c r="V47" s="117">
        <f>SUM($T$43:T47)</f>
        <v>413.3435710902379</v>
      </c>
      <c r="W47" s="117">
        <f t="shared" si="35"/>
        <v>11.744306108369825</v>
      </c>
      <c r="X47" s="117">
        <f>SUM(R47:$R$56)</f>
        <v>73.611948295492596</v>
      </c>
      <c r="Y47" s="130">
        <f>SUM(T47:$T$56)</f>
        <v>2269.3116063595944</v>
      </c>
      <c r="Z47" s="114">
        <f t="shared" si="36"/>
        <v>30.828033476985812</v>
      </c>
      <c r="AA47" s="114">
        <f t="shared" si="37"/>
        <v>30.791641551135218</v>
      </c>
      <c r="AB47" s="135">
        <f>SUM(R46:R49)</f>
        <v>38.038309557296898</v>
      </c>
      <c r="AJ47" s="144">
        <v>35</v>
      </c>
      <c r="AK47" s="276">
        <v>1.4</v>
      </c>
      <c r="AL47" s="114">
        <f t="shared" si="38"/>
        <v>8.807179693255641</v>
      </c>
      <c r="AM47" s="147">
        <f t="shared" si="39"/>
        <v>16.296670030272452</v>
      </c>
      <c r="AN47" s="117">
        <f t="shared" si="40"/>
        <v>143.52770135830332</v>
      </c>
      <c r="AO47" s="117">
        <f>SUM($AL$43:AL47)</f>
        <v>35.195231397763038</v>
      </c>
      <c r="AP47" s="117">
        <f>SUM($AN$43:AN47)</f>
        <v>413.3435710902379</v>
      </c>
      <c r="AQ47" s="117">
        <f t="shared" si="41"/>
        <v>11.744306108369825</v>
      </c>
      <c r="AR47" s="117">
        <f>SUM(AL47:$AL$56)</f>
        <v>73.611948295492596</v>
      </c>
      <c r="AS47" s="130">
        <f>SUM(AN47:$AN$56)</f>
        <v>2269.3116063595944</v>
      </c>
      <c r="AT47" s="114">
        <f t="shared" si="42"/>
        <v>30.828033476985812</v>
      </c>
      <c r="AU47" s="114">
        <f t="shared" si="43"/>
        <v>30.791641551135218</v>
      </c>
      <c r="AV47" s="135">
        <f>SUM(AL46:AL49)</f>
        <v>38.038309557296898</v>
      </c>
    </row>
    <row r="48" spans="2:48" x14ac:dyDescent="0.25">
      <c r="B48" s="68"/>
      <c r="C48" s="69"/>
      <c r="D48" s="70"/>
      <c r="E48" s="279">
        <f t="shared" si="44"/>
        <v>1.4</v>
      </c>
      <c r="F48" s="276">
        <v>1.425</v>
      </c>
      <c r="G48" s="107">
        <v>305.10000000000002</v>
      </c>
      <c r="H48" s="72">
        <f t="shared" si="32"/>
        <v>10.216998191681736</v>
      </c>
      <c r="I48" s="72">
        <v>18.170000000000002</v>
      </c>
      <c r="J48" s="72">
        <v>0.88</v>
      </c>
      <c r="K48" s="72">
        <v>22.28</v>
      </c>
      <c r="L48" s="72">
        <v>0.54</v>
      </c>
      <c r="M48" s="105">
        <v>4</v>
      </c>
      <c r="N48" s="125">
        <f t="shared" si="33"/>
        <v>0.70175438596491224</v>
      </c>
      <c r="O48" s="123"/>
      <c r="P48" s="144">
        <v>42</v>
      </c>
      <c r="Q48" s="276">
        <v>1.425</v>
      </c>
      <c r="R48" s="114">
        <f t="shared" si="30"/>
        <v>10.216998191681736</v>
      </c>
      <c r="S48" s="114">
        <f t="shared" si="31"/>
        <v>18.331315577078289</v>
      </c>
      <c r="T48" s="117">
        <f t="shared" si="34"/>
        <v>187.2910181021561</v>
      </c>
      <c r="U48" s="117">
        <f>SUM($R$43:R48)</f>
        <v>45.412229589444777</v>
      </c>
      <c r="V48" s="117">
        <f>SUM($T$43:T48)</f>
        <v>600.63458919239406</v>
      </c>
      <c r="W48" s="117">
        <f t="shared" si="35"/>
        <v>13.226273949165455</v>
      </c>
      <c r="X48" s="117">
        <f>SUM(R48:$R$56)</f>
        <v>64.804768602236962</v>
      </c>
      <c r="Y48" s="130">
        <f>SUM(T48:$T$56)</f>
        <v>2125.7839050012908</v>
      </c>
      <c r="Z48" s="114">
        <f t="shared" si="36"/>
        <v>32.802893226099904</v>
      </c>
      <c r="AA48" s="114">
        <f t="shared" si="37"/>
        <v>40.303730493603908</v>
      </c>
      <c r="AB48" s="135">
        <f>SUM(R47:R50)</f>
        <v>44.635322483423749</v>
      </c>
      <c r="AJ48" s="144">
        <v>42</v>
      </c>
      <c r="AK48" s="276">
        <v>1.425</v>
      </c>
      <c r="AL48" s="114">
        <f t="shared" si="38"/>
        <v>10.216998191681736</v>
      </c>
      <c r="AM48" s="114">
        <f t="shared" si="39"/>
        <v>18.331315577078289</v>
      </c>
      <c r="AN48" s="117">
        <f t="shared" si="40"/>
        <v>187.2910181021561</v>
      </c>
      <c r="AO48" s="117">
        <f>SUM($AL$43:AL48)</f>
        <v>45.412229589444777</v>
      </c>
      <c r="AP48" s="117">
        <f>SUM($AN$43:AN48)</f>
        <v>600.63458919239406</v>
      </c>
      <c r="AQ48" s="117">
        <f t="shared" si="41"/>
        <v>13.226273949165455</v>
      </c>
      <c r="AR48" s="117">
        <f>SUM(AL48:$AL$56)</f>
        <v>64.804768602236962</v>
      </c>
      <c r="AS48" s="130">
        <f>SUM(AN48:$AN$56)</f>
        <v>2125.7839050012908</v>
      </c>
      <c r="AT48" s="114">
        <f t="shared" si="42"/>
        <v>32.802893226099904</v>
      </c>
      <c r="AU48" s="114">
        <f t="shared" si="43"/>
        <v>40.303730493603908</v>
      </c>
      <c r="AV48" s="135">
        <f>SUM(AL47:AL50)</f>
        <v>44.635322483423749</v>
      </c>
    </row>
    <row r="49" spans="2:48" x14ac:dyDescent="0.25">
      <c r="B49" s="68"/>
      <c r="C49" s="69"/>
      <c r="D49" s="70"/>
      <c r="E49" s="279">
        <f t="shared" si="44"/>
        <v>1.425</v>
      </c>
      <c r="F49" s="276">
        <v>1.45</v>
      </c>
      <c r="G49" s="107">
        <v>310.7</v>
      </c>
      <c r="H49" s="72">
        <f t="shared" si="32"/>
        <v>10.404527493135086</v>
      </c>
      <c r="I49" s="72">
        <v>21.1</v>
      </c>
      <c r="J49" s="72">
        <v>0.94</v>
      </c>
      <c r="K49" s="72">
        <v>20.71</v>
      </c>
      <c r="L49" s="72">
        <v>0.52</v>
      </c>
      <c r="M49" s="105">
        <v>2</v>
      </c>
      <c r="N49" s="125">
        <f t="shared" si="33"/>
        <v>0.68965517241379315</v>
      </c>
      <c r="O49" s="123"/>
      <c r="P49" s="144">
        <v>49</v>
      </c>
      <c r="Q49" s="276">
        <v>1.45</v>
      </c>
      <c r="R49" s="114">
        <f t="shared" si="30"/>
        <v>10.404527493135086</v>
      </c>
      <c r="S49" s="114">
        <f t="shared" si="31"/>
        <v>21.300222087623663</v>
      </c>
      <c r="T49" s="117">
        <f t="shared" si="34"/>
        <v>221.61874632056362</v>
      </c>
      <c r="U49" s="117">
        <f>SUM($R$43:R49)</f>
        <v>55.816757082579862</v>
      </c>
      <c r="V49" s="117">
        <f>SUM($T$43:T49)</f>
        <v>822.25333551295762</v>
      </c>
      <c r="W49" s="117">
        <f t="shared" si="35"/>
        <v>14.731298959136035</v>
      </c>
      <c r="X49" s="117">
        <f>SUM(R49:$R$56)</f>
        <v>54.587770410555223</v>
      </c>
      <c r="Y49" s="130">
        <f>SUM(T49:$T$56)</f>
        <v>1938.4928868991349</v>
      </c>
      <c r="Z49" s="114">
        <f t="shared" si="36"/>
        <v>35.511486772947649</v>
      </c>
      <c r="AA49" s="114">
        <f t="shared" si="37"/>
        <v>50.614493336012316</v>
      </c>
      <c r="AB49" s="135">
        <f>SUM(R48:R51)</f>
        <v>48.322282499497689</v>
      </c>
      <c r="AJ49" s="144">
        <v>49</v>
      </c>
      <c r="AK49" s="276">
        <v>1.45</v>
      </c>
      <c r="AL49" s="114">
        <f t="shared" si="38"/>
        <v>10.404527493135086</v>
      </c>
      <c r="AM49" s="114">
        <f t="shared" si="39"/>
        <v>21.300222087623663</v>
      </c>
      <c r="AN49" s="117">
        <f t="shared" si="40"/>
        <v>221.61874632056362</v>
      </c>
      <c r="AO49" s="117">
        <f>SUM($AL$43:AL49)</f>
        <v>55.816757082579862</v>
      </c>
      <c r="AP49" s="117">
        <f>SUM($AN$43:AN49)</f>
        <v>822.25333551295762</v>
      </c>
      <c r="AQ49" s="117">
        <f t="shared" si="41"/>
        <v>14.731298959136035</v>
      </c>
      <c r="AR49" s="117">
        <f>SUM(AL49:$AL$56)</f>
        <v>54.587770410555223</v>
      </c>
      <c r="AS49" s="130">
        <f>SUM(AN49:$AN$56)</f>
        <v>1938.4928868991349</v>
      </c>
      <c r="AT49" s="114">
        <f t="shared" si="42"/>
        <v>35.511486772947649</v>
      </c>
      <c r="AU49" s="114">
        <f t="shared" si="43"/>
        <v>50.614493336012316</v>
      </c>
      <c r="AV49" s="135">
        <f>SUM(AL48:AL51)</f>
        <v>48.322282499497689</v>
      </c>
    </row>
    <row r="50" spans="2:48" x14ac:dyDescent="0.25">
      <c r="B50" s="68"/>
      <c r="C50" s="69"/>
      <c r="D50" s="70"/>
      <c r="E50" s="279">
        <f t="shared" si="44"/>
        <v>1.45</v>
      </c>
      <c r="F50" s="276">
        <v>1.5</v>
      </c>
      <c r="G50" s="107">
        <v>454.1</v>
      </c>
      <c r="H50" s="72">
        <f t="shared" si="32"/>
        <v>15.206617105351283</v>
      </c>
      <c r="I50" s="72">
        <v>25.26</v>
      </c>
      <c r="J50" s="72">
        <v>0.91</v>
      </c>
      <c r="K50" s="72">
        <v>19.579999999999998</v>
      </c>
      <c r="L50" s="72">
        <v>0.5</v>
      </c>
      <c r="M50" s="105">
        <v>1.5</v>
      </c>
      <c r="N50" s="125">
        <f t="shared" si="33"/>
        <v>0.66666666666666663</v>
      </c>
      <c r="O50" s="123"/>
      <c r="P50" s="144">
        <v>56</v>
      </c>
      <c r="Q50" s="276">
        <v>1.5</v>
      </c>
      <c r="R50" s="114">
        <f t="shared" si="30"/>
        <v>15.206617105351283</v>
      </c>
      <c r="S50" s="114">
        <f t="shared" si="31"/>
        <v>25.491976990614592</v>
      </c>
      <c r="T50" s="117">
        <f t="shared" si="34"/>
        <v>387.64673335470115</v>
      </c>
      <c r="U50" s="117">
        <f>SUM($R$43:R50)</f>
        <v>71.02337418793114</v>
      </c>
      <c r="V50" s="117">
        <f>SUM($T$43:T50)</f>
        <v>1209.9000688676588</v>
      </c>
      <c r="W50" s="117">
        <f t="shared" si="35"/>
        <v>17.035237803067581</v>
      </c>
      <c r="X50" s="117">
        <f>SUM(R50:$R$56)</f>
        <v>44.183242917420138</v>
      </c>
      <c r="Y50" s="130">
        <f>SUM(T50:$T$56)</f>
        <v>1716.8741405785715</v>
      </c>
      <c r="Z50" s="114">
        <f t="shared" si="36"/>
        <v>38.858038188538195</v>
      </c>
      <c r="AA50" s="114">
        <f t="shared" si="37"/>
        <v>63.420065635255497</v>
      </c>
      <c r="AB50" s="135"/>
      <c r="AJ50" s="144">
        <v>56</v>
      </c>
      <c r="AK50" s="276">
        <v>1.5</v>
      </c>
      <c r="AL50" s="114">
        <f t="shared" si="38"/>
        <v>15.206617105351283</v>
      </c>
      <c r="AM50" s="114">
        <f t="shared" si="39"/>
        <v>25.491976990614592</v>
      </c>
      <c r="AN50" s="117">
        <f t="shared" si="40"/>
        <v>387.64673335470115</v>
      </c>
      <c r="AO50" s="117">
        <f>SUM($AL$43:AL50)</f>
        <v>71.02337418793114</v>
      </c>
      <c r="AP50" s="117">
        <f>SUM($AN$43:AN50)</f>
        <v>1209.9000688676588</v>
      </c>
      <c r="AQ50" s="117">
        <f t="shared" si="41"/>
        <v>17.035237803067581</v>
      </c>
      <c r="AR50" s="117">
        <f>SUM(AL50:$AL$56)</f>
        <v>44.183242917420138</v>
      </c>
      <c r="AS50" s="130">
        <f>SUM(AN50:$AN$56)</f>
        <v>1716.8741405785715</v>
      </c>
      <c r="AT50" s="114">
        <f t="shared" si="42"/>
        <v>38.858038188538195</v>
      </c>
      <c r="AU50" s="114">
        <f t="shared" si="43"/>
        <v>63.420065635255497</v>
      </c>
      <c r="AV50" s="135"/>
    </row>
    <row r="51" spans="2:48" x14ac:dyDescent="0.25">
      <c r="B51" s="68"/>
      <c r="C51" s="69"/>
      <c r="D51" s="70"/>
      <c r="E51" s="279">
        <f t="shared" si="44"/>
        <v>1.5</v>
      </c>
      <c r="F51" s="276">
        <v>1.6</v>
      </c>
      <c r="G51" s="107">
        <v>373.1</v>
      </c>
      <c r="H51" s="72">
        <f t="shared" si="32"/>
        <v>12.494139709329582</v>
      </c>
      <c r="I51" s="72">
        <v>31.45</v>
      </c>
      <c r="J51" s="72">
        <v>0.94</v>
      </c>
      <c r="K51" s="72">
        <v>18.89</v>
      </c>
      <c r="L51" s="72">
        <v>0.47</v>
      </c>
      <c r="M51" s="105">
        <v>1</v>
      </c>
      <c r="N51" s="125">
        <f t="shared" si="33"/>
        <v>0.625</v>
      </c>
      <c r="O51" s="123"/>
      <c r="P51" s="144">
        <v>63</v>
      </c>
      <c r="Q51" s="276">
        <v>1.6</v>
      </c>
      <c r="R51" s="114">
        <f t="shared" si="30"/>
        <v>12.494139709329582</v>
      </c>
      <c r="S51" s="114">
        <f t="shared" si="31"/>
        <v>31.748435291742378</v>
      </c>
      <c r="T51" s="117">
        <f t="shared" si="34"/>
        <v>396.66938608763917</v>
      </c>
      <c r="U51" s="117">
        <f>SUM($R$43:R51)</f>
        <v>83.517513897260727</v>
      </c>
      <c r="V51" s="117">
        <f>SUM($T$43:T51)</f>
        <v>1606.5694549552979</v>
      </c>
      <c r="W51" s="117">
        <f t="shared" si="35"/>
        <v>19.23631798872298</v>
      </c>
      <c r="X51" s="117">
        <f>SUM(R51:$R$56)</f>
        <v>28.976625812068846</v>
      </c>
      <c r="Y51" s="130">
        <f>SUM(T51:$T$56)</f>
        <v>1329.2274072238702</v>
      </c>
      <c r="Z51" s="114">
        <f t="shared" si="36"/>
        <v>45.872401288014814</v>
      </c>
      <c r="AA51" s="114">
        <f t="shared" si="37"/>
        <v>77.27044404259594</v>
      </c>
      <c r="AB51" s="135">
        <f>SUM(R50:R52)</f>
        <v>33.966244725738399</v>
      </c>
      <c r="AJ51" s="144">
        <v>63</v>
      </c>
      <c r="AK51" s="276">
        <v>1.6</v>
      </c>
      <c r="AL51" s="114">
        <f t="shared" si="38"/>
        <v>12.494139709329582</v>
      </c>
      <c r="AM51" s="114">
        <f t="shared" si="39"/>
        <v>31.748435291742378</v>
      </c>
      <c r="AN51" s="117">
        <f t="shared" si="40"/>
        <v>396.66938608763917</v>
      </c>
      <c r="AO51" s="117">
        <f>SUM($AL$43:AL51)</f>
        <v>83.517513897260727</v>
      </c>
      <c r="AP51" s="117">
        <f>SUM($AN$43:AN51)</f>
        <v>1606.5694549552979</v>
      </c>
      <c r="AQ51" s="117">
        <f t="shared" si="41"/>
        <v>19.23631798872298</v>
      </c>
      <c r="AR51" s="117">
        <f>SUM(AL51:$AL$56)</f>
        <v>28.976625812068846</v>
      </c>
      <c r="AS51" s="130">
        <f>SUM(AN51:$AN$56)</f>
        <v>1329.2274072238702</v>
      </c>
      <c r="AT51" s="114">
        <f t="shared" si="42"/>
        <v>45.872401288014814</v>
      </c>
      <c r="AU51" s="114">
        <f t="shared" si="43"/>
        <v>77.27044404259594</v>
      </c>
      <c r="AV51" s="135">
        <f>SUM(AL50:AL52)</f>
        <v>33.966244725738399</v>
      </c>
    </row>
    <row r="52" spans="2:48" x14ac:dyDescent="0.25">
      <c r="B52" s="68"/>
      <c r="C52" s="69"/>
      <c r="D52" s="70"/>
      <c r="E52" s="279">
        <f t="shared" si="44"/>
        <v>1.6</v>
      </c>
      <c r="F52" s="276">
        <v>1.7</v>
      </c>
      <c r="G52" s="107">
        <v>187.1</v>
      </c>
      <c r="H52" s="72">
        <f t="shared" si="32"/>
        <v>6.265487911057531</v>
      </c>
      <c r="I52" s="72">
        <v>38.53</v>
      </c>
      <c r="J52" s="72">
        <v>1.07</v>
      </c>
      <c r="K52" s="72">
        <v>17.97</v>
      </c>
      <c r="L52" s="72">
        <v>0.61</v>
      </c>
      <c r="M52" s="105">
        <v>1</v>
      </c>
      <c r="N52" s="125">
        <f t="shared" si="33"/>
        <v>0.58823529411764708</v>
      </c>
      <c r="O52" s="123"/>
      <c r="P52" s="144">
        <v>70</v>
      </c>
      <c r="Q52" s="276">
        <v>1.7</v>
      </c>
      <c r="R52" s="114">
        <f t="shared" si="30"/>
        <v>6.265487911057531</v>
      </c>
      <c r="S52" s="114">
        <f t="shared" si="31"/>
        <v>38.946730011118973</v>
      </c>
      <c r="T52" s="117">
        <f t="shared" si="34"/>
        <v>244.02026605988746</v>
      </c>
      <c r="U52" s="117">
        <f>SUM($R$43:R52)</f>
        <v>89.783001808318261</v>
      </c>
      <c r="V52" s="117">
        <f>SUM($T$43:T52)</f>
        <v>1850.5897210151854</v>
      </c>
      <c r="W52" s="117">
        <f t="shared" si="35"/>
        <v>20.611804949071452</v>
      </c>
      <c r="X52" s="117">
        <f>SUM(R52:$R$56)</f>
        <v>16.482486102739266</v>
      </c>
      <c r="Y52" s="130">
        <f>SUM(T52:$T$56)</f>
        <v>932.55802113623099</v>
      </c>
      <c r="Z52" s="114">
        <f t="shared" si="36"/>
        <v>56.578723338419614</v>
      </c>
      <c r="AA52" s="114">
        <f t="shared" si="37"/>
        <v>86.650257852789494</v>
      </c>
      <c r="AB52" s="135">
        <f>SUM(R52:R53)</f>
        <v>7.7925122228919692</v>
      </c>
      <c r="AJ52" s="144">
        <v>70</v>
      </c>
      <c r="AK52" s="276">
        <v>1.7</v>
      </c>
      <c r="AL52" s="114">
        <f t="shared" si="38"/>
        <v>6.265487911057531</v>
      </c>
      <c r="AM52" s="114">
        <f t="shared" si="39"/>
        <v>38.946730011118973</v>
      </c>
      <c r="AN52" s="117">
        <f t="shared" si="40"/>
        <v>244.02026605988746</v>
      </c>
      <c r="AO52" s="117">
        <f>SUM($AL$43:AL52)</f>
        <v>89.783001808318261</v>
      </c>
      <c r="AP52" s="117">
        <f>SUM($AN$43:AN52)</f>
        <v>1850.5897210151854</v>
      </c>
      <c r="AQ52" s="117">
        <f t="shared" si="41"/>
        <v>20.611804949071452</v>
      </c>
      <c r="AR52" s="117">
        <f>SUM(AL52:$AL$56)</f>
        <v>16.482486102739266</v>
      </c>
      <c r="AS52" s="130">
        <f>SUM(AN52:$AN$56)</f>
        <v>932.55802113623099</v>
      </c>
      <c r="AT52" s="114">
        <f t="shared" si="42"/>
        <v>56.578723338419614</v>
      </c>
      <c r="AU52" s="114">
        <f t="shared" si="43"/>
        <v>86.650257852789494</v>
      </c>
      <c r="AV52" s="135">
        <f>SUM(AL52:AL53)</f>
        <v>7.7925122228919692</v>
      </c>
    </row>
    <row r="53" spans="2:48" x14ac:dyDescent="0.25">
      <c r="B53" s="68"/>
      <c r="C53" s="69"/>
      <c r="D53" s="70"/>
      <c r="E53" s="279">
        <f t="shared" si="44"/>
        <v>1.7</v>
      </c>
      <c r="F53" s="276">
        <v>1.8</v>
      </c>
      <c r="G53" s="107">
        <v>45.6</v>
      </c>
      <c r="H53" s="72">
        <f t="shared" si="32"/>
        <v>1.5270243118344384</v>
      </c>
      <c r="I53" s="72">
        <v>44.81</v>
      </c>
      <c r="J53" s="72">
        <v>1.1599999999999999</v>
      </c>
      <c r="K53" s="72">
        <v>17.829999999999998</v>
      </c>
      <c r="L53" s="72">
        <v>0.63</v>
      </c>
      <c r="M53" s="105">
        <v>0.5</v>
      </c>
      <c r="N53" s="125">
        <f t="shared" si="33"/>
        <v>0.55555555555555558</v>
      </c>
      <c r="O53" s="123"/>
      <c r="P53" s="144">
        <v>77</v>
      </c>
      <c r="Q53" s="276">
        <v>1.8</v>
      </c>
      <c r="R53" s="114">
        <f t="shared" si="30"/>
        <v>1.5270243118344384</v>
      </c>
      <c r="S53" s="114">
        <f t="shared" si="31"/>
        <v>45.33589639821934</v>
      </c>
      <c r="T53" s="117">
        <f t="shared" si="34"/>
        <v>69.229015998888286</v>
      </c>
      <c r="U53" s="117">
        <f>SUM($R$43:R53)</f>
        <v>91.310026120152699</v>
      </c>
      <c r="V53" s="117">
        <f>SUM($T$43:T53)</f>
        <v>1919.8187370140738</v>
      </c>
      <c r="W53" s="117">
        <f t="shared" si="35"/>
        <v>21.025278587565289</v>
      </c>
      <c r="X53" s="117">
        <f>SUM(R53:$R$56)</f>
        <v>10.216998191681736</v>
      </c>
      <c r="Y53" s="130">
        <f>SUM(T53:$T$56)</f>
        <v>688.5377550763435</v>
      </c>
      <c r="Z53" s="114">
        <f t="shared" si="36"/>
        <v>67.391394434905834</v>
      </c>
      <c r="AA53" s="114">
        <f t="shared" si="37"/>
        <v>90.546513964235473</v>
      </c>
      <c r="AB53" s="135">
        <f>SUM(R53:R54)</f>
        <v>3.0774897863505455</v>
      </c>
      <c r="AJ53" s="144">
        <v>77</v>
      </c>
      <c r="AK53" s="276">
        <v>1.8</v>
      </c>
      <c r="AL53" s="114">
        <f t="shared" si="38"/>
        <v>1.5270243118344384</v>
      </c>
      <c r="AM53" s="114">
        <f t="shared" si="39"/>
        <v>45.33589639821934</v>
      </c>
      <c r="AN53" s="117">
        <f t="shared" si="40"/>
        <v>69.229015998888286</v>
      </c>
      <c r="AO53" s="117">
        <f>SUM($AL$43:AL53)</f>
        <v>91.310026120152699</v>
      </c>
      <c r="AP53" s="117">
        <f>SUM($AN$43:AN53)</f>
        <v>1919.8187370140738</v>
      </c>
      <c r="AQ53" s="117">
        <f t="shared" si="41"/>
        <v>21.025278587565289</v>
      </c>
      <c r="AR53" s="117">
        <f>SUM(AL53:$AL$56)</f>
        <v>10.216998191681736</v>
      </c>
      <c r="AS53" s="130">
        <f>SUM(AN53:$AN$56)</f>
        <v>688.5377550763435</v>
      </c>
      <c r="AT53" s="114">
        <f t="shared" si="42"/>
        <v>67.391394434905834</v>
      </c>
      <c r="AU53" s="114">
        <f t="shared" si="43"/>
        <v>90.546513964235473</v>
      </c>
      <c r="AV53" s="135">
        <f>SUM(AL53:AL54)</f>
        <v>3.0774897863505455</v>
      </c>
    </row>
    <row r="54" spans="2:48" x14ac:dyDescent="0.25">
      <c r="B54" s="68"/>
      <c r="C54" s="69"/>
      <c r="D54" s="70"/>
      <c r="E54" s="279">
        <f t="shared" si="44"/>
        <v>1.8</v>
      </c>
      <c r="F54" s="276">
        <v>2</v>
      </c>
      <c r="G54" s="107">
        <v>46.3</v>
      </c>
      <c r="H54" s="72">
        <f t="shared" si="32"/>
        <v>1.5504654745161071</v>
      </c>
      <c r="I54" s="72">
        <v>51.65</v>
      </c>
      <c r="J54" s="72">
        <v>2.12</v>
      </c>
      <c r="K54" s="72">
        <v>18.8</v>
      </c>
      <c r="L54" s="72">
        <v>1.03</v>
      </c>
      <c r="M54" s="105">
        <v>0.5</v>
      </c>
      <c r="N54" s="125">
        <f t="shared" si="33"/>
        <v>0.5</v>
      </c>
      <c r="O54" s="123"/>
      <c r="P54" s="144">
        <v>84</v>
      </c>
      <c r="Q54" s="276">
        <v>2</v>
      </c>
      <c r="R54" s="114">
        <f t="shared" si="30"/>
        <v>1.5504654745161071</v>
      </c>
      <c r="S54" s="114">
        <f t="shared" si="31"/>
        <v>52.768696362893344</v>
      </c>
      <c r="T54" s="117">
        <f t="shared" si="34"/>
        <v>81.816041845889799</v>
      </c>
      <c r="U54" s="117">
        <f>SUM($R$43:R54)</f>
        <v>92.860491594668801</v>
      </c>
      <c r="V54" s="117">
        <f>SUM($T$43:T54)</f>
        <v>2001.6347788599637</v>
      </c>
      <c r="W54" s="117">
        <f t="shared" si="35"/>
        <v>21.555289493803187</v>
      </c>
      <c r="X54" s="117">
        <f>SUM(R54:$R$56)</f>
        <v>8.6899738798472974</v>
      </c>
      <c r="Y54" s="130">
        <f>SUM(T54:$T$56)</f>
        <v>619.30873907745524</v>
      </c>
      <c r="Z54" s="114">
        <f t="shared" si="36"/>
        <v>71.267042644820691</v>
      </c>
      <c r="AA54" s="114">
        <f t="shared" si="37"/>
        <v>92.08525885741075</v>
      </c>
      <c r="AB54" s="134"/>
      <c r="AJ54" s="144">
        <v>84</v>
      </c>
      <c r="AK54" s="276">
        <v>2</v>
      </c>
      <c r="AL54" s="114">
        <f t="shared" si="38"/>
        <v>1.5504654745161071</v>
      </c>
      <c r="AM54" s="114">
        <f t="shared" si="39"/>
        <v>52.768696362893344</v>
      </c>
      <c r="AN54" s="117">
        <f t="shared" si="40"/>
        <v>81.816041845889799</v>
      </c>
      <c r="AO54" s="117">
        <f>SUM($AL$43:AL54)</f>
        <v>92.860491594668801</v>
      </c>
      <c r="AP54" s="117">
        <f>SUM($AN$43:AN54)</f>
        <v>2001.6347788599637</v>
      </c>
      <c r="AQ54" s="117">
        <f t="shared" si="41"/>
        <v>21.555289493803187</v>
      </c>
      <c r="AR54" s="117">
        <f>SUM(AL54:$AL$56)</f>
        <v>8.6899738798472974</v>
      </c>
      <c r="AS54" s="130">
        <f>SUM(AN54:$AN$56)</f>
        <v>619.30873907745524</v>
      </c>
      <c r="AT54" s="114">
        <f t="shared" si="42"/>
        <v>71.267042644820691</v>
      </c>
      <c r="AU54" s="114">
        <f t="shared" si="43"/>
        <v>92.08525885741075</v>
      </c>
      <c r="AV54" s="134"/>
    </row>
    <row r="55" spans="2:48" x14ac:dyDescent="0.25">
      <c r="B55" s="68"/>
      <c r="C55" s="69"/>
      <c r="D55" s="70"/>
      <c r="E55" s="279">
        <f t="shared" si="44"/>
        <v>2</v>
      </c>
      <c r="F55" s="276">
        <v>2.2000000000000002</v>
      </c>
      <c r="G55" s="107">
        <v>43.3</v>
      </c>
      <c r="H55" s="72">
        <f t="shared" si="32"/>
        <v>1.4500033487375257</v>
      </c>
      <c r="I55" s="72">
        <v>59.21</v>
      </c>
      <c r="J55" s="72">
        <v>3.37</v>
      </c>
      <c r="K55" s="72">
        <v>19.62</v>
      </c>
      <c r="L55" s="72">
        <v>0.65500000000000003</v>
      </c>
      <c r="M55" s="105">
        <v>0</v>
      </c>
      <c r="N55" s="125">
        <f t="shared" si="33"/>
        <v>0.45454545454545453</v>
      </c>
      <c r="O55" s="123"/>
      <c r="P55" s="144">
        <v>91</v>
      </c>
      <c r="Q55" s="276">
        <v>2.2000000000000002</v>
      </c>
      <c r="R55" s="114">
        <f t="shared" si="30"/>
        <v>1.4500033487375257</v>
      </c>
      <c r="S55" s="114">
        <f t="shared" si="31"/>
        <v>61.274966366552832</v>
      </c>
      <c r="T55" s="117">
        <f t="shared" si="34"/>
        <v>88.848906425280859</v>
      </c>
      <c r="U55" s="117">
        <f>SUM($R$43:R55)</f>
        <v>94.310494943406326</v>
      </c>
      <c r="V55" s="117">
        <f>SUM($T$43:T55)</f>
        <v>2090.4836852852445</v>
      </c>
      <c r="W55" s="117">
        <f t="shared" si="35"/>
        <v>22.165970887330179</v>
      </c>
      <c r="X55" s="117">
        <f>SUM(R55:$R$56)</f>
        <v>7.1395084053311901</v>
      </c>
      <c r="Y55" s="130">
        <f>SUM(T55:$T$56)</f>
        <v>537.49269723156544</v>
      </c>
      <c r="Z55" s="114">
        <f t="shared" si="36"/>
        <v>75.284272630061011</v>
      </c>
      <c r="AA55" s="114">
        <f t="shared" si="37"/>
        <v>93.585493269037556</v>
      </c>
      <c r="AB55" s="134"/>
      <c r="AJ55" s="144">
        <v>91</v>
      </c>
      <c r="AK55" s="276">
        <v>2.2000000000000002</v>
      </c>
      <c r="AL55" s="114">
        <f t="shared" si="38"/>
        <v>1.4500033487375257</v>
      </c>
      <c r="AM55" s="114">
        <f t="shared" si="39"/>
        <v>61.274966366552832</v>
      </c>
      <c r="AN55" s="117">
        <f t="shared" si="40"/>
        <v>88.848906425280859</v>
      </c>
      <c r="AO55" s="117">
        <f>SUM($AL$43:AL55)</f>
        <v>94.310494943406326</v>
      </c>
      <c r="AP55" s="117">
        <f>SUM($AN$43:AN55)</f>
        <v>2090.4836852852445</v>
      </c>
      <c r="AQ55" s="117">
        <f t="shared" si="41"/>
        <v>22.165970887330179</v>
      </c>
      <c r="AR55" s="117">
        <f>SUM(AL55:$AL$56)</f>
        <v>7.1395084053311901</v>
      </c>
      <c r="AS55" s="130">
        <f>SUM(AN55:$AN$56)</f>
        <v>537.49269723156544</v>
      </c>
      <c r="AT55" s="114">
        <f t="shared" si="42"/>
        <v>75.284272630061011</v>
      </c>
      <c r="AU55" s="114">
        <f t="shared" si="43"/>
        <v>93.585493269037556</v>
      </c>
      <c r="AV55" s="134"/>
    </row>
    <row r="56" spans="2:48" x14ac:dyDescent="0.25">
      <c r="B56" s="68"/>
      <c r="C56" s="69"/>
      <c r="D56" s="70"/>
      <c r="E56" s="279">
        <f t="shared" si="44"/>
        <v>2.2000000000000002</v>
      </c>
      <c r="F56" s="276">
        <v>2.8</v>
      </c>
      <c r="G56" s="107">
        <v>169.9</v>
      </c>
      <c r="H56" s="72">
        <f t="shared" si="32"/>
        <v>5.6895050565936645</v>
      </c>
      <c r="I56" s="72">
        <v>75.180000000000007</v>
      </c>
      <c r="J56" s="72">
        <v>4.66</v>
      </c>
      <c r="K56" s="72">
        <v>13.3</v>
      </c>
      <c r="L56" s="72">
        <v>0.28000000000000003</v>
      </c>
      <c r="M56" s="105">
        <v>0</v>
      </c>
      <c r="N56" s="125">
        <f t="shared" si="33"/>
        <v>0.35714285714285715</v>
      </c>
      <c r="O56" s="123"/>
      <c r="P56" s="144">
        <v>98</v>
      </c>
      <c r="Q56" s="281">
        <v>2.8</v>
      </c>
      <c r="R56" s="115">
        <f t="shared" si="30"/>
        <v>5.6895050565936645</v>
      </c>
      <c r="S56" s="115">
        <f t="shared" si="31"/>
        <v>78.854625550660799</v>
      </c>
      <c r="T56" s="118">
        <f t="shared" si="34"/>
        <v>448.64379080628458</v>
      </c>
      <c r="U56" s="118">
        <f>SUM($R$43:R56)</f>
        <v>99.999999999999986</v>
      </c>
      <c r="V56" s="118">
        <f>SUM($T$43:T56)</f>
        <v>2539.1274760915289</v>
      </c>
      <c r="W56" s="118">
        <f t="shared" si="35"/>
        <v>25.391274760915294</v>
      </c>
      <c r="X56" s="118">
        <f>SUM(R56:$R$56)</f>
        <v>5.6895050565936645</v>
      </c>
      <c r="Y56" s="131">
        <f>SUM(T56:$T$56)</f>
        <v>448.64379080628458</v>
      </c>
      <c r="Z56" s="115">
        <f t="shared" si="36"/>
        <v>78.854625550660799</v>
      </c>
      <c r="AA56" s="115">
        <f t="shared" si="37"/>
        <v>97.155247471703149</v>
      </c>
      <c r="AB56" s="136"/>
      <c r="AJ56" s="144">
        <v>98</v>
      </c>
      <c r="AK56" s="281">
        <v>2.8</v>
      </c>
      <c r="AL56" s="115">
        <f t="shared" si="38"/>
        <v>5.6895050565936645</v>
      </c>
      <c r="AM56" s="115">
        <f t="shared" si="39"/>
        <v>78.854625550660799</v>
      </c>
      <c r="AN56" s="118">
        <f t="shared" si="40"/>
        <v>448.64379080628458</v>
      </c>
      <c r="AO56" s="118">
        <f>SUM($AL$43:AL56)</f>
        <v>99.999999999999986</v>
      </c>
      <c r="AP56" s="118">
        <f>SUM($AN$43:AN56)</f>
        <v>2539.1274760915289</v>
      </c>
      <c r="AQ56" s="118">
        <f t="shared" si="41"/>
        <v>25.391274760915294</v>
      </c>
      <c r="AR56" s="118">
        <f>SUM(AL56:$AL$56)</f>
        <v>5.6895050565936645</v>
      </c>
      <c r="AS56" s="131">
        <f>SUM(AN56:$AN$56)</f>
        <v>448.64379080628458</v>
      </c>
      <c r="AT56" s="115">
        <f t="shared" si="42"/>
        <v>78.854625550660799</v>
      </c>
      <c r="AU56" s="115">
        <f t="shared" si="43"/>
        <v>97.155247471703149</v>
      </c>
      <c r="AV56" s="136"/>
    </row>
    <row r="57" spans="2:48" x14ac:dyDescent="0.25">
      <c r="B57" s="292" t="s">
        <v>82</v>
      </c>
      <c r="C57" s="293"/>
      <c r="D57" s="293"/>
      <c r="E57" s="73"/>
      <c r="F57" s="74"/>
      <c r="G57" s="75">
        <f>SUM(G43:G56)</f>
        <v>2986.2000000000003</v>
      </c>
      <c r="H57" s="76">
        <f>SUM(H43:H56)</f>
        <v>99.999999999999986</v>
      </c>
      <c r="I57" s="77">
        <f>SUMPRODUCT($H$43:$H$56,I43:I56)/$H$57</f>
        <v>24.954499698613624</v>
      </c>
      <c r="J57" s="77">
        <f>SUMPRODUCT($H$43:$H$56,J43:J56)/$H$57</f>
        <v>1.1828789096510617</v>
      </c>
      <c r="K57" s="77">
        <f>SUMPRODUCT($H$43:$H$56,K43:K56)/$H$57</f>
        <v>21.801113790101134</v>
      </c>
      <c r="L57" s="77">
        <f>SUMPRODUCT($H$43:$H$56,L43:L56)/$H$57</f>
        <v>0.54968605585694197</v>
      </c>
      <c r="M57" s="106">
        <f>SUMPRODUCT($H$43:$H$56,M43:M56)/$H$57</f>
        <v>3.2040553211439291</v>
      </c>
      <c r="N57" s="124"/>
      <c r="O57" s="124"/>
    </row>
    <row r="58" spans="2:48" ht="35.450000000000003" customHeight="1" x14ac:dyDescent="0.25">
      <c r="B58" s="65" t="s">
        <v>87</v>
      </c>
      <c r="C58" s="66" t="s">
        <v>88</v>
      </c>
      <c r="D58" s="148">
        <f>Pretreatment!R45+Pretreatment!R46</f>
        <v>12.97071129707113</v>
      </c>
      <c r="E58" s="67"/>
      <c r="F58" s="67"/>
      <c r="G58" s="104"/>
      <c r="H58" s="67"/>
      <c r="I58" s="67"/>
      <c r="J58" s="67"/>
      <c r="K58" s="67"/>
      <c r="L58" s="67"/>
      <c r="M58" s="67"/>
      <c r="N58" s="122" t="s">
        <v>146</v>
      </c>
      <c r="O58" s="122"/>
      <c r="P58" s="142"/>
      <c r="Q58" s="301" t="s">
        <v>150</v>
      </c>
      <c r="R58" s="302"/>
      <c r="S58" s="302"/>
      <c r="T58" s="302"/>
      <c r="U58" s="302"/>
      <c r="V58" s="302"/>
      <c r="W58" s="302"/>
      <c r="X58" s="302"/>
      <c r="Y58" s="302"/>
      <c r="Z58" s="302"/>
      <c r="AA58" s="303"/>
      <c r="AB58" s="151">
        <f>D58</f>
        <v>12.97071129707113</v>
      </c>
      <c r="AJ58" s="137"/>
      <c r="AK58" s="301" t="s">
        <v>153</v>
      </c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152">
        <f>AB58+AB74</f>
        <v>20.0836820083682</v>
      </c>
    </row>
    <row r="59" spans="2:48" x14ac:dyDescent="0.25">
      <c r="B59" s="68"/>
      <c r="C59" s="69"/>
      <c r="D59" s="70"/>
      <c r="E59" s="278">
        <v>1.25</v>
      </c>
      <c r="F59" s="276">
        <v>1.3</v>
      </c>
      <c r="G59" s="71">
        <v>425.3</v>
      </c>
      <c r="H59" s="72">
        <f>G59/$G$73*100</f>
        <v>14.232172138004886</v>
      </c>
      <c r="I59" s="72">
        <v>2.21</v>
      </c>
      <c r="J59" s="72">
        <v>1.1000000000000001</v>
      </c>
      <c r="K59" s="72">
        <v>29.13</v>
      </c>
      <c r="L59" s="72">
        <v>0.78</v>
      </c>
      <c r="M59" s="105">
        <v>8.5</v>
      </c>
      <c r="N59" s="125">
        <f>1/Q59</f>
        <v>0.76923076923076916</v>
      </c>
      <c r="O59" s="123"/>
      <c r="P59" s="144">
        <v>7</v>
      </c>
      <c r="Q59" s="280">
        <v>1.3</v>
      </c>
      <c r="R59" s="113">
        <f t="shared" ref="R59:R72" si="45">H59</f>
        <v>14.232172138004886</v>
      </c>
      <c r="S59" s="146">
        <f t="shared" ref="S59:S72" si="46">I59*100/(100-J59)</f>
        <v>2.2345803842264913</v>
      </c>
      <c r="T59" s="116">
        <f>R59*S59</f>
        <v>31.802932684520524</v>
      </c>
      <c r="U59" s="116">
        <f>SUM($R$59:R59)</f>
        <v>14.232172138004886</v>
      </c>
      <c r="V59" s="116">
        <f>SUM($T$59:T59)</f>
        <v>31.802932684520524</v>
      </c>
      <c r="W59" s="116">
        <f>V59/U59</f>
        <v>2.2345803842264913</v>
      </c>
      <c r="X59" s="116">
        <f>SUM(R59:$R$72)</f>
        <v>100</v>
      </c>
      <c r="Y59" s="129">
        <f>SUM(T59:$T$72)</f>
        <v>2315.9021291484037</v>
      </c>
      <c r="Z59" s="113">
        <f>Y59/X59</f>
        <v>23.159021291484038</v>
      </c>
      <c r="AA59" s="133">
        <f>U59-R59/2</f>
        <v>7.116086069002443</v>
      </c>
      <c r="AB59" s="67"/>
      <c r="AJ59" s="144">
        <v>7</v>
      </c>
      <c r="AK59" s="280">
        <v>1.3</v>
      </c>
      <c r="AL59" s="113">
        <f t="shared" ref="AL59:AL72" si="47">(R59*$AB$58+R75*$AB$74)/$AV$58</f>
        <v>18.97965333749713</v>
      </c>
      <c r="AM59" s="146">
        <f t="shared" ref="AM59:AM72" si="48">((R59*S59*$AB$58+R75*S75*$AB$74)/AL59)/$AV$58</f>
        <v>2.6397351866854288</v>
      </c>
      <c r="AN59" s="116">
        <f>AL59*AM59</f>
        <v>50.101258746082706</v>
      </c>
      <c r="AO59" s="116">
        <f>SUM($AL$59:AL59)</f>
        <v>18.97965333749713</v>
      </c>
      <c r="AP59" s="116">
        <f>SUM($AN$59:AN59)</f>
        <v>50.101258746082706</v>
      </c>
      <c r="AQ59" s="116">
        <f>AP59/AO59</f>
        <v>2.6397351866854288</v>
      </c>
      <c r="AR59" s="116">
        <f>SUM(AL59:$AL$72)</f>
        <v>100</v>
      </c>
      <c r="AS59" s="129">
        <f>SUM(AN59:$AN$72)</f>
        <v>2356.5762591044554</v>
      </c>
      <c r="AT59" s="113">
        <f>AS59/AR59</f>
        <v>23.565762591044553</v>
      </c>
      <c r="AU59" s="133">
        <f>AO59-AL59/2</f>
        <v>9.4898266687485648</v>
      </c>
      <c r="AV59" s="67"/>
    </row>
    <row r="60" spans="2:48" x14ac:dyDescent="0.25">
      <c r="B60" s="68"/>
      <c r="C60" s="69"/>
      <c r="D60" s="70"/>
      <c r="E60" s="279">
        <f>F59</f>
        <v>1.3</v>
      </c>
      <c r="F60" s="276">
        <v>1.325</v>
      </c>
      <c r="G60" s="71">
        <v>415.7</v>
      </c>
      <c r="H60" s="72">
        <f t="shared" ref="H60:H72" si="49">G60/$G$73*100</f>
        <v>13.910919251748485</v>
      </c>
      <c r="I60" s="72">
        <v>4.5599999999999996</v>
      </c>
      <c r="J60" s="72">
        <v>1.03</v>
      </c>
      <c r="K60" s="72">
        <v>28.08</v>
      </c>
      <c r="L60" s="72">
        <v>0.71</v>
      </c>
      <c r="M60" s="105">
        <v>8</v>
      </c>
      <c r="N60" s="125">
        <f t="shared" ref="N60:N72" si="50">1/Q60</f>
        <v>0.75471698113207553</v>
      </c>
      <c r="O60" s="123"/>
      <c r="P60" s="144">
        <v>14</v>
      </c>
      <c r="Q60" s="276">
        <v>1.325</v>
      </c>
      <c r="R60" s="114">
        <f t="shared" si="45"/>
        <v>13.910919251748485</v>
      </c>
      <c r="S60" s="147">
        <f t="shared" si="46"/>
        <v>4.6074568050924514</v>
      </c>
      <c r="T60" s="117">
        <f t="shared" ref="T60:T72" si="51">R60*S60</f>
        <v>64.093959571560148</v>
      </c>
      <c r="U60" s="117">
        <f>SUM($R$59:R60)</f>
        <v>28.143091389753373</v>
      </c>
      <c r="V60" s="117">
        <f>SUM($T$59:T60)</f>
        <v>95.896892256080676</v>
      </c>
      <c r="W60" s="117">
        <f t="shared" ref="W60:W72" si="52">V60/U60</f>
        <v>3.4074754236485836</v>
      </c>
      <c r="X60" s="117">
        <f>SUM(R60:$R$72)</f>
        <v>85.767827861995116</v>
      </c>
      <c r="Y60" s="130">
        <f>SUM(T60:$T$72)</f>
        <v>2284.0991964638833</v>
      </c>
      <c r="Z60" s="114">
        <f t="shared" ref="Z60:Z71" si="53">Y60/X60</f>
        <v>26.631188563375041</v>
      </c>
      <c r="AA60" s="114">
        <f t="shared" ref="AA60:AA72" si="54">U60-R60/2</f>
        <v>21.187631763879132</v>
      </c>
      <c r="AB60" s="134"/>
      <c r="AJ60" s="144">
        <v>14</v>
      </c>
      <c r="AK60" s="276">
        <v>1.325</v>
      </c>
      <c r="AL60" s="114">
        <f t="shared" si="47"/>
        <v>11.89808364053096</v>
      </c>
      <c r="AM60" s="147">
        <f t="shared" si="48"/>
        <v>5.665075226539348</v>
      </c>
      <c r="AN60" s="117">
        <f t="shared" ref="AN60:AN72" si="55">AL60*AM60</f>
        <v>67.403538875265042</v>
      </c>
      <c r="AO60" s="117">
        <f>SUM($AL$59:AL60)</f>
        <v>30.877736978028089</v>
      </c>
      <c r="AP60" s="117">
        <f>SUM($AN$59:AN60)</f>
        <v>117.50479762134775</v>
      </c>
      <c r="AQ60" s="117">
        <f t="shared" ref="AQ60:AQ72" si="56">AP60/AO60</f>
        <v>3.8054860595827198</v>
      </c>
      <c r="AR60" s="117">
        <f>SUM(AL60:$AL$72)</f>
        <v>81.020346662502874</v>
      </c>
      <c r="AS60" s="130">
        <f>SUM(AN60:$AN$72)</f>
        <v>2306.4750003583727</v>
      </c>
      <c r="AT60" s="114">
        <f t="shared" ref="AT60:AT72" si="57">AS60/AR60</f>
        <v>28.467849069644071</v>
      </c>
      <c r="AU60" s="114">
        <f t="shared" ref="AU60:AU72" si="58">AO60-AL60/2</f>
        <v>24.928695157762611</v>
      </c>
      <c r="AV60" s="134"/>
    </row>
    <row r="61" spans="2:48" x14ac:dyDescent="0.25">
      <c r="B61" s="68"/>
      <c r="C61" s="69"/>
      <c r="D61" s="70"/>
      <c r="E61" s="279">
        <f t="shared" ref="E61:E72" si="59">F60</f>
        <v>1.325</v>
      </c>
      <c r="F61" s="276">
        <v>1.35</v>
      </c>
      <c r="G61" s="71">
        <v>294.2</v>
      </c>
      <c r="H61" s="72">
        <f t="shared" si="49"/>
        <v>9.8450624100659248</v>
      </c>
      <c r="I61" s="72">
        <v>9.74</v>
      </c>
      <c r="J61" s="72">
        <v>0.99</v>
      </c>
      <c r="K61" s="72">
        <v>26.11</v>
      </c>
      <c r="L61" s="72">
        <v>0.63</v>
      </c>
      <c r="M61" s="105">
        <v>7.5</v>
      </c>
      <c r="N61" s="125">
        <f t="shared" si="50"/>
        <v>0.7407407407407407</v>
      </c>
      <c r="O61" s="123"/>
      <c r="P61" s="144">
        <v>21</v>
      </c>
      <c r="Q61" s="276">
        <v>1.35</v>
      </c>
      <c r="R61" s="114">
        <f t="shared" si="45"/>
        <v>9.8450624100659248</v>
      </c>
      <c r="S61" s="147">
        <f t="shared" si="46"/>
        <v>9.8373901626098377</v>
      </c>
      <c r="T61" s="117">
        <f t="shared" si="51"/>
        <v>96.849720103062424</v>
      </c>
      <c r="U61" s="117">
        <f>SUM($R$59:R61)</f>
        <v>37.988153799819301</v>
      </c>
      <c r="V61" s="117">
        <f>SUM($T$59:T61)</f>
        <v>192.74661235914311</v>
      </c>
      <c r="W61" s="117">
        <f t="shared" si="52"/>
        <v>5.073861008745836</v>
      </c>
      <c r="X61" s="117">
        <f>SUM(R61:$R$72)</f>
        <v>71.856908610246634</v>
      </c>
      <c r="Y61" s="130">
        <f>SUM(T61:$T$72)</f>
        <v>2220.005236892323</v>
      </c>
      <c r="Z61" s="114">
        <f t="shared" si="53"/>
        <v>30.894805799866475</v>
      </c>
      <c r="AA61" s="114">
        <f t="shared" si="54"/>
        <v>33.06562259478634</v>
      </c>
      <c r="AB61" s="135">
        <f>SUM(R60:R63)</f>
        <v>35.659070374460399</v>
      </c>
      <c r="AJ61" s="144">
        <v>21</v>
      </c>
      <c r="AK61" s="276">
        <v>1.35</v>
      </c>
      <c r="AL61" s="114">
        <f t="shared" si="47"/>
        <v>8.4153629249012969</v>
      </c>
      <c r="AM61" s="147">
        <f t="shared" si="48"/>
        <v>9.9022788604326752</v>
      </c>
      <c r="AN61" s="117">
        <f t="shared" si="55"/>
        <v>83.331270394119002</v>
      </c>
      <c r="AO61" s="117">
        <f>SUM($AL$59:AL61)</f>
        <v>39.293099902929384</v>
      </c>
      <c r="AP61" s="117">
        <f>SUM($AN$59:AN61)</f>
        <v>200.83606801546676</v>
      </c>
      <c r="AQ61" s="117">
        <f t="shared" si="56"/>
        <v>5.1112299236155199</v>
      </c>
      <c r="AR61" s="117">
        <f>SUM(AL61:$AL$72)</f>
        <v>69.122263021971918</v>
      </c>
      <c r="AS61" s="130">
        <f>SUM(AN61:$AN$72)</f>
        <v>2239.0714614831077</v>
      </c>
      <c r="AT61" s="114">
        <f t="shared" si="57"/>
        <v>32.392913130916639</v>
      </c>
      <c r="AU61" s="114">
        <f t="shared" si="58"/>
        <v>35.085418440478733</v>
      </c>
      <c r="AV61" s="135">
        <f>SUM(AL60:AL63)</f>
        <v>30.802484520789715</v>
      </c>
    </row>
    <row r="62" spans="2:48" x14ac:dyDescent="0.25">
      <c r="B62" s="68"/>
      <c r="C62" s="69"/>
      <c r="D62" s="70"/>
      <c r="E62" s="279">
        <f t="shared" si="59"/>
        <v>1.35</v>
      </c>
      <c r="F62" s="276">
        <v>1.375</v>
      </c>
      <c r="G62" s="71">
        <v>195.8</v>
      </c>
      <c r="H62" s="72">
        <f t="shared" si="49"/>
        <v>6.5522203259378253</v>
      </c>
      <c r="I62" s="72">
        <v>12.78</v>
      </c>
      <c r="J62" s="72">
        <v>0.99</v>
      </c>
      <c r="K62" s="72">
        <v>24.58</v>
      </c>
      <c r="L62" s="72">
        <v>0.61</v>
      </c>
      <c r="M62" s="105">
        <v>7</v>
      </c>
      <c r="N62" s="125">
        <f t="shared" si="50"/>
        <v>0.72727272727272729</v>
      </c>
      <c r="O62" s="123"/>
      <c r="P62" s="144">
        <v>28</v>
      </c>
      <c r="Q62" s="276">
        <v>1.375</v>
      </c>
      <c r="R62" s="114">
        <f t="shared" si="45"/>
        <v>6.5522203259378253</v>
      </c>
      <c r="S62" s="147">
        <f t="shared" si="46"/>
        <v>12.907787092212907</v>
      </c>
      <c r="T62" s="117">
        <f t="shared" si="51"/>
        <v>84.574664948475302</v>
      </c>
      <c r="U62" s="117">
        <f>SUM($R$59:R62)</f>
        <v>44.540374125757126</v>
      </c>
      <c r="V62" s="117">
        <f>SUM($T$59:T62)</f>
        <v>277.3212773076184</v>
      </c>
      <c r="W62" s="117">
        <f t="shared" si="52"/>
        <v>6.2262898044955373</v>
      </c>
      <c r="X62" s="117">
        <f>SUM(R62:$R$72)</f>
        <v>62.01184620018072</v>
      </c>
      <c r="Y62" s="130">
        <f>SUM(T62:$T$72)</f>
        <v>2123.1555167892607</v>
      </c>
      <c r="Z62" s="114">
        <f t="shared" si="53"/>
        <v>34.23790206044653</v>
      </c>
      <c r="AA62" s="114">
        <f t="shared" si="54"/>
        <v>41.264263962788213</v>
      </c>
      <c r="AB62" s="135">
        <f>SUM(R61:R64)</f>
        <v>28.062778168189272</v>
      </c>
      <c r="AJ62" s="144">
        <v>28</v>
      </c>
      <c r="AK62" s="276">
        <v>1.375</v>
      </c>
      <c r="AL62" s="114">
        <f t="shared" si="47"/>
        <v>6.0127450484560852</v>
      </c>
      <c r="AM62" s="147">
        <f t="shared" si="48"/>
        <v>12.546862984644694</v>
      </c>
      <c r="AN62" s="117">
        <f t="shared" si="55"/>
        <v>75.441088284579322</v>
      </c>
      <c r="AO62" s="117">
        <f>SUM($AL$59:AL62)</f>
        <v>45.305844951385467</v>
      </c>
      <c r="AP62" s="117">
        <f>SUM($AN$59:AN62)</f>
        <v>276.2771563000461</v>
      </c>
      <c r="AQ62" s="117">
        <f t="shared" si="56"/>
        <v>6.0980466559336834</v>
      </c>
      <c r="AR62" s="117">
        <f>SUM(AL62:$AL$72)</f>
        <v>60.70690009707063</v>
      </c>
      <c r="AS62" s="130">
        <f>SUM(AN62:$AN$72)</f>
        <v>2155.7401910889885</v>
      </c>
      <c r="AT62" s="114">
        <f t="shared" si="57"/>
        <v>35.510628736468988</v>
      </c>
      <c r="AU62" s="114">
        <f t="shared" si="58"/>
        <v>42.299472427157426</v>
      </c>
      <c r="AV62" s="135">
        <f>SUM(AL61:AL64)</f>
        <v>24.593612978336509</v>
      </c>
    </row>
    <row r="63" spans="2:48" x14ac:dyDescent="0.25">
      <c r="B63" s="68"/>
      <c r="C63" s="69"/>
      <c r="D63" s="70"/>
      <c r="E63" s="279">
        <f t="shared" si="59"/>
        <v>1.375</v>
      </c>
      <c r="F63" s="276">
        <v>1.4</v>
      </c>
      <c r="G63" s="71">
        <v>159.9</v>
      </c>
      <c r="H63" s="72">
        <f t="shared" si="49"/>
        <v>5.3508683867081626</v>
      </c>
      <c r="I63" s="72">
        <v>15.34</v>
      </c>
      <c r="J63" s="72">
        <v>1</v>
      </c>
      <c r="K63" s="72">
        <v>22.85</v>
      </c>
      <c r="L63" s="72">
        <v>0.57999999999999996</v>
      </c>
      <c r="M63" s="105">
        <v>5.5</v>
      </c>
      <c r="N63" s="125">
        <f t="shared" si="50"/>
        <v>0.7142857142857143</v>
      </c>
      <c r="O63" s="123"/>
      <c r="P63" s="144">
        <v>35</v>
      </c>
      <c r="Q63" s="276">
        <v>1.4</v>
      </c>
      <c r="R63" s="114">
        <f t="shared" si="45"/>
        <v>5.3508683867081626</v>
      </c>
      <c r="S63" s="147">
        <f t="shared" si="46"/>
        <v>15.494949494949495</v>
      </c>
      <c r="T63" s="117">
        <f t="shared" si="51"/>
        <v>82.911435406164856</v>
      </c>
      <c r="U63" s="117">
        <f>SUM($R$59:R63)</f>
        <v>49.89124251246529</v>
      </c>
      <c r="V63" s="117">
        <f>SUM($T$59:T63)</f>
        <v>360.23271271378326</v>
      </c>
      <c r="W63" s="117">
        <f t="shared" si="52"/>
        <v>7.2203596176980236</v>
      </c>
      <c r="X63" s="117">
        <f>SUM(R63:$R$72)</f>
        <v>55.459625874242896</v>
      </c>
      <c r="Y63" s="130">
        <f>SUM(T63:$T$72)</f>
        <v>2038.5808518407853</v>
      </c>
      <c r="Z63" s="114">
        <f t="shared" si="53"/>
        <v>36.757926504289003</v>
      </c>
      <c r="AA63" s="114">
        <f t="shared" si="54"/>
        <v>47.215808319111211</v>
      </c>
      <c r="AB63" s="135">
        <f>SUM(R62:R65)</f>
        <v>24.120737543084701</v>
      </c>
      <c r="AJ63" s="144">
        <v>35</v>
      </c>
      <c r="AK63" s="276">
        <v>1.4</v>
      </c>
      <c r="AL63" s="114">
        <f t="shared" si="47"/>
        <v>4.4762929069013717</v>
      </c>
      <c r="AM63" s="147">
        <f t="shared" si="48"/>
        <v>15.28883845374977</v>
      </c>
      <c r="AN63" s="117">
        <f t="shared" si="55"/>
        <v>68.437319125281036</v>
      </c>
      <c r="AO63" s="117">
        <f>SUM($AL$59:AL63)</f>
        <v>49.782137858286838</v>
      </c>
      <c r="AP63" s="117">
        <f>SUM($AN$59:AN63)</f>
        <v>344.71447542532712</v>
      </c>
      <c r="AQ63" s="117">
        <f t="shared" si="56"/>
        <v>6.9244610668713023</v>
      </c>
      <c r="AR63" s="117">
        <f>SUM(AL63:$AL$72)</f>
        <v>54.694155048614547</v>
      </c>
      <c r="AS63" s="130">
        <f>SUM(AN63:$AN$72)</f>
        <v>2080.2991028044089</v>
      </c>
      <c r="AT63" s="114">
        <f t="shared" si="57"/>
        <v>38.035126440025415</v>
      </c>
      <c r="AU63" s="114">
        <f t="shared" si="58"/>
        <v>47.543991404836149</v>
      </c>
      <c r="AV63" s="135">
        <f>SUM(AL62:AL65)</f>
        <v>21.303178697916604</v>
      </c>
    </row>
    <row r="64" spans="2:48" x14ac:dyDescent="0.25">
      <c r="B64" s="68"/>
      <c r="C64" s="69"/>
      <c r="D64" s="70"/>
      <c r="E64" s="279">
        <f t="shared" si="59"/>
        <v>1.4</v>
      </c>
      <c r="F64" s="276">
        <v>1.425</v>
      </c>
      <c r="G64" s="71">
        <v>188.7</v>
      </c>
      <c r="H64" s="72">
        <f t="shared" si="49"/>
        <v>6.314627045477363</v>
      </c>
      <c r="I64" s="72">
        <v>17.72</v>
      </c>
      <c r="J64" s="72">
        <v>1.03</v>
      </c>
      <c r="K64" s="72">
        <v>21.47</v>
      </c>
      <c r="L64" s="72">
        <v>0.52</v>
      </c>
      <c r="M64" s="105">
        <v>4</v>
      </c>
      <c r="N64" s="125">
        <f t="shared" si="50"/>
        <v>0.70175438596491224</v>
      </c>
      <c r="O64" s="123"/>
      <c r="P64" s="144">
        <v>42</v>
      </c>
      <c r="Q64" s="276">
        <v>1.425</v>
      </c>
      <c r="R64" s="114">
        <f t="shared" si="45"/>
        <v>6.314627045477363</v>
      </c>
      <c r="S64" s="114">
        <f t="shared" si="46"/>
        <v>17.904415479438214</v>
      </c>
      <c r="T64" s="117">
        <f t="shared" si="51"/>
        <v>113.0597062199241</v>
      </c>
      <c r="U64" s="117">
        <f>SUM($R$59:R64)</f>
        <v>56.205869557942655</v>
      </c>
      <c r="V64" s="117">
        <f>SUM($T$59:T64)</f>
        <v>473.29241893370738</v>
      </c>
      <c r="W64" s="117">
        <f t="shared" si="52"/>
        <v>8.4206938288854332</v>
      </c>
      <c r="X64" s="117">
        <f>SUM(R64:$R$72)</f>
        <v>50.108757487534731</v>
      </c>
      <c r="Y64" s="130">
        <f>SUM(T64:$T$72)</f>
        <v>1955.6694164346204</v>
      </c>
      <c r="Z64" s="114">
        <f t="shared" si="53"/>
        <v>39.028495506421628</v>
      </c>
      <c r="AA64" s="114">
        <f t="shared" si="54"/>
        <v>53.048556035203973</v>
      </c>
      <c r="AB64" s="135">
        <f>SUM(R63:R66)</f>
        <v>27.416926011444637</v>
      </c>
      <c r="AJ64" s="144">
        <v>42</v>
      </c>
      <c r="AK64" s="276">
        <v>1.425</v>
      </c>
      <c r="AL64" s="114">
        <f t="shared" si="47"/>
        <v>5.6892120980777561</v>
      </c>
      <c r="AM64" s="114">
        <f t="shared" si="48"/>
        <v>17.629996885654521</v>
      </c>
      <c r="AN64" s="117">
        <f t="shared" si="55"/>
        <v>100.30079157093886</v>
      </c>
      <c r="AO64" s="117">
        <f>SUM($AL$59:AL64)</f>
        <v>55.471349956364591</v>
      </c>
      <c r="AP64" s="117">
        <f>SUM($AN$59:AN64)</f>
        <v>445.01526699626595</v>
      </c>
      <c r="AQ64" s="117">
        <f t="shared" si="56"/>
        <v>8.0224344160783563</v>
      </c>
      <c r="AR64" s="117">
        <f>SUM(AL64:$AL$72)</f>
        <v>50.217862141713169</v>
      </c>
      <c r="AS64" s="130">
        <f>SUM(AN64:$AN$72)</f>
        <v>2011.8617836791282</v>
      </c>
      <c r="AT64" s="114">
        <f t="shared" si="57"/>
        <v>40.062672879257981</v>
      </c>
      <c r="AU64" s="114">
        <f t="shared" si="58"/>
        <v>52.626743907325711</v>
      </c>
      <c r="AV64" s="135">
        <f>SUM(AL63:AL66)</f>
        <v>23.682284227625111</v>
      </c>
    </row>
    <row r="65" spans="2:48" x14ac:dyDescent="0.25">
      <c r="B65" s="68"/>
      <c r="C65" s="69"/>
      <c r="D65" s="70"/>
      <c r="E65" s="279">
        <f t="shared" si="59"/>
        <v>1.425</v>
      </c>
      <c r="F65" s="276">
        <v>1.45</v>
      </c>
      <c r="G65" s="71">
        <v>176.4</v>
      </c>
      <c r="H65" s="72">
        <f t="shared" si="49"/>
        <v>5.90302178496135</v>
      </c>
      <c r="I65" s="72">
        <v>19.79</v>
      </c>
      <c r="J65" s="72">
        <v>1.04</v>
      </c>
      <c r="K65" s="72">
        <v>20.58</v>
      </c>
      <c r="L65" s="72">
        <v>0.49</v>
      </c>
      <c r="M65" s="105">
        <v>2</v>
      </c>
      <c r="N65" s="125">
        <f t="shared" si="50"/>
        <v>0.68965517241379315</v>
      </c>
      <c r="O65" s="123"/>
      <c r="P65" s="144">
        <v>49</v>
      </c>
      <c r="Q65" s="276">
        <v>1.45</v>
      </c>
      <c r="R65" s="114">
        <f t="shared" si="45"/>
        <v>5.90302178496135</v>
      </c>
      <c r="S65" s="114">
        <f t="shared" si="46"/>
        <v>19.997978981406629</v>
      </c>
      <c r="T65" s="117">
        <f t="shared" si="51"/>
        <v>118.04850558244252</v>
      </c>
      <c r="U65" s="117">
        <f>SUM($R$59:R65)</f>
        <v>62.108891342904002</v>
      </c>
      <c r="V65" s="117">
        <f>SUM($T$59:T65)</f>
        <v>591.34092451614993</v>
      </c>
      <c r="W65" s="117">
        <f t="shared" si="52"/>
        <v>9.5210349392866949</v>
      </c>
      <c r="X65" s="117">
        <f>SUM(R65:$R$72)</f>
        <v>43.794130442057366</v>
      </c>
      <c r="Y65" s="130">
        <f>SUM(T65:$T$72)</f>
        <v>1842.6097102146964</v>
      </c>
      <c r="Z65" s="114">
        <f t="shared" si="53"/>
        <v>42.074353152247085</v>
      </c>
      <c r="AA65" s="114">
        <f t="shared" si="54"/>
        <v>59.157380450423325</v>
      </c>
      <c r="AB65" s="135">
        <f>SUM(R64:R67)</f>
        <v>31.225111267275711</v>
      </c>
      <c r="AJ65" s="144">
        <v>49</v>
      </c>
      <c r="AK65" s="276">
        <v>1.45</v>
      </c>
      <c r="AL65" s="114">
        <f t="shared" si="47"/>
        <v>5.1249286444813889</v>
      </c>
      <c r="AM65" s="114">
        <f t="shared" si="48"/>
        <v>19.73760496860405</v>
      </c>
      <c r="AN65" s="117">
        <f t="shared" si="55"/>
        <v>101.15381707705708</v>
      </c>
      <c r="AO65" s="117">
        <f>SUM($AL$59:AL65)</f>
        <v>60.596278600845977</v>
      </c>
      <c r="AP65" s="117">
        <f>SUM($AN$59:AN65)</f>
        <v>546.16908407332301</v>
      </c>
      <c r="AQ65" s="117">
        <f t="shared" si="56"/>
        <v>9.0132446527120234</v>
      </c>
      <c r="AR65" s="117">
        <f>SUM(AL65:$AL$72)</f>
        <v>44.528650043635409</v>
      </c>
      <c r="AS65" s="130">
        <f>SUM(AN65:$AN$72)</f>
        <v>1911.5609921081891</v>
      </c>
      <c r="AT65" s="114">
        <f t="shared" si="57"/>
        <v>42.928788324707213</v>
      </c>
      <c r="AU65" s="114">
        <f t="shared" si="58"/>
        <v>58.033814278605284</v>
      </c>
      <c r="AV65" s="135">
        <f>SUM(AL64:AL67)</f>
        <v>27.329139041763508</v>
      </c>
    </row>
    <row r="66" spans="2:48" x14ac:dyDescent="0.25">
      <c r="B66" s="68"/>
      <c r="C66" s="69"/>
      <c r="D66" s="70"/>
      <c r="E66" s="279">
        <f t="shared" si="59"/>
        <v>1.45</v>
      </c>
      <c r="F66" s="276">
        <v>1.5</v>
      </c>
      <c r="G66" s="71">
        <v>294.3</v>
      </c>
      <c r="H66" s="72">
        <f t="shared" si="49"/>
        <v>9.8484087942977627</v>
      </c>
      <c r="I66" s="72">
        <v>24</v>
      </c>
      <c r="J66" s="72">
        <v>1.05</v>
      </c>
      <c r="K66" s="72">
        <v>19.43</v>
      </c>
      <c r="L66" s="72">
        <v>0.47</v>
      </c>
      <c r="M66" s="105">
        <v>1</v>
      </c>
      <c r="N66" s="125">
        <f t="shared" si="50"/>
        <v>0.66666666666666663</v>
      </c>
      <c r="O66" s="123"/>
      <c r="P66" s="144">
        <v>56</v>
      </c>
      <c r="Q66" s="276">
        <v>1.5</v>
      </c>
      <c r="R66" s="114">
        <f t="shared" si="45"/>
        <v>9.8484087942977627</v>
      </c>
      <c r="S66" s="114">
        <f t="shared" si="46"/>
        <v>24.254674077817079</v>
      </c>
      <c r="T66" s="117">
        <f t="shared" si="51"/>
        <v>238.86994549079969</v>
      </c>
      <c r="U66" s="117">
        <f>SUM($R$59:R66)</f>
        <v>71.95730013720177</v>
      </c>
      <c r="V66" s="117">
        <f>SUM($T$59:T66)</f>
        <v>830.21087000694956</v>
      </c>
      <c r="W66" s="117">
        <f t="shared" si="52"/>
        <v>11.537548913369143</v>
      </c>
      <c r="X66" s="117">
        <f>SUM(R66:$R$72)</f>
        <v>37.891108657096012</v>
      </c>
      <c r="Y66" s="130">
        <f>SUM(T66:$T$72)</f>
        <v>1724.561204632254</v>
      </c>
      <c r="Z66" s="114">
        <f t="shared" si="53"/>
        <v>45.513611655944217</v>
      </c>
      <c r="AA66" s="114">
        <f t="shared" si="54"/>
        <v>67.033095740052886</v>
      </c>
      <c r="AB66" s="135"/>
      <c r="AJ66" s="144">
        <v>56</v>
      </c>
      <c r="AK66" s="276">
        <v>1.5</v>
      </c>
      <c r="AL66" s="114">
        <f t="shared" si="47"/>
        <v>8.3918505781645933</v>
      </c>
      <c r="AM66" s="114">
        <f t="shared" si="48"/>
        <v>23.943686949901377</v>
      </c>
      <c r="AN66" s="117">
        <f t="shared" si="55"/>
        <v>200.93184317392189</v>
      </c>
      <c r="AO66" s="117">
        <f>SUM($AL$59:AL66)</f>
        <v>68.988129179010571</v>
      </c>
      <c r="AP66" s="117">
        <f>SUM($AN$59:AN66)</f>
        <v>747.10092724724495</v>
      </c>
      <c r="AQ66" s="117">
        <f t="shared" si="56"/>
        <v>10.82941277199539</v>
      </c>
      <c r="AR66" s="117">
        <f>SUM(AL66:$AL$72)</f>
        <v>39.403721399154016</v>
      </c>
      <c r="AS66" s="130">
        <f>SUM(AN66:$AN$72)</f>
        <v>1810.4071750311323</v>
      </c>
      <c r="AT66" s="114">
        <f t="shared" si="57"/>
        <v>45.945081092518357</v>
      </c>
      <c r="AU66" s="114">
        <f t="shared" si="58"/>
        <v>64.792203889928274</v>
      </c>
      <c r="AV66" s="135"/>
    </row>
    <row r="67" spans="2:48" x14ac:dyDescent="0.25">
      <c r="B67" s="68"/>
      <c r="C67" s="69"/>
      <c r="D67" s="70"/>
      <c r="E67" s="279">
        <f t="shared" si="59"/>
        <v>1.5</v>
      </c>
      <c r="F67" s="276">
        <v>1.6</v>
      </c>
      <c r="G67" s="71">
        <v>273.7</v>
      </c>
      <c r="H67" s="72">
        <f t="shared" si="49"/>
        <v>9.1590536425392379</v>
      </c>
      <c r="I67" s="72">
        <v>30.47</v>
      </c>
      <c r="J67" s="72">
        <v>1.17</v>
      </c>
      <c r="K67" s="72">
        <v>18.690000000000001</v>
      </c>
      <c r="L67" s="72">
        <v>0.46</v>
      </c>
      <c r="M67" s="105">
        <v>0.5</v>
      </c>
      <c r="N67" s="125">
        <f t="shared" si="50"/>
        <v>0.625</v>
      </c>
      <c r="O67" s="123"/>
      <c r="P67" s="144">
        <v>63</v>
      </c>
      <c r="Q67" s="276">
        <v>1.6</v>
      </c>
      <c r="R67" s="114">
        <f t="shared" si="45"/>
        <v>9.1590536425392379</v>
      </c>
      <c r="S67" s="114">
        <f t="shared" si="46"/>
        <v>30.830719417181019</v>
      </c>
      <c r="T67" s="117">
        <f t="shared" si="51"/>
        <v>282.38021298003702</v>
      </c>
      <c r="U67" s="117">
        <f>SUM($R$59:R67)</f>
        <v>81.116353779741004</v>
      </c>
      <c r="V67" s="117">
        <f>SUM($T$59:T67)</f>
        <v>1112.5910829869865</v>
      </c>
      <c r="W67" s="117">
        <f t="shared" si="52"/>
        <v>13.715989823803676</v>
      </c>
      <c r="X67" s="117">
        <f>SUM(R67:$R$72)</f>
        <v>28.042699862798251</v>
      </c>
      <c r="Y67" s="130">
        <f>SUM(T67:$T$72)</f>
        <v>1485.6912591414543</v>
      </c>
      <c r="Z67" s="114">
        <f t="shared" si="53"/>
        <v>52.979608468883143</v>
      </c>
      <c r="AA67" s="114">
        <f t="shared" si="54"/>
        <v>76.53682695847138</v>
      </c>
      <c r="AB67" s="135">
        <f>SUM(R66:R68)</f>
        <v>23.220560184720416</v>
      </c>
      <c r="AJ67" s="144">
        <v>63</v>
      </c>
      <c r="AK67" s="276">
        <v>1.6</v>
      </c>
      <c r="AL67" s="114">
        <f t="shared" si="47"/>
        <v>8.1231477210397678</v>
      </c>
      <c r="AM67" s="114">
        <f t="shared" si="48"/>
        <v>30.351442980469432</v>
      </c>
      <c r="AN67" s="117">
        <f t="shared" si="55"/>
        <v>246.54925487706873</v>
      </c>
      <c r="AO67" s="117">
        <f>SUM($AL$59:AL67)</f>
        <v>77.111276900050342</v>
      </c>
      <c r="AP67" s="117">
        <f>SUM($AN$59:AN67)</f>
        <v>993.65018212431369</v>
      </c>
      <c r="AQ67" s="117">
        <f t="shared" si="56"/>
        <v>12.885925665739624</v>
      </c>
      <c r="AR67" s="117">
        <f>SUM(AL67:$AL$72)</f>
        <v>31.011870820989429</v>
      </c>
      <c r="AS67" s="130">
        <f>SUM(AN67:$AN$72)</f>
        <v>1609.4753318572102</v>
      </c>
      <c r="AT67" s="114">
        <f t="shared" si="57"/>
        <v>51.898685543597921</v>
      </c>
      <c r="AU67" s="114">
        <f t="shared" si="58"/>
        <v>73.049703039530456</v>
      </c>
      <c r="AV67" s="135">
        <f>SUM(AL66:AL68)</f>
        <v>20.294991331694398</v>
      </c>
    </row>
    <row r="68" spans="2:48" x14ac:dyDescent="0.25">
      <c r="B68" s="68"/>
      <c r="C68" s="69"/>
      <c r="D68" s="70"/>
      <c r="E68" s="279">
        <f t="shared" si="59"/>
        <v>1.6</v>
      </c>
      <c r="F68" s="276">
        <v>1.7</v>
      </c>
      <c r="G68" s="71">
        <v>125.9</v>
      </c>
      <c r="H68" s="72">
        <f t="shared" si="49"/>
        <v>4.2130977478834124</v>
      </c>
      <c r="I68" s="72">
        <v>37.11</v>
      </c>
      <c r="J68" s="72">
        <v>1.45</v>
      </c>
      <c r="K68" s="72">
        <v>17.899999999999999</v>
      </c>
      <c r="L68" s="72">
        <v>0.44</v>
      </c>
      <c r="M68" s="105">
        <v>0</v>
      </c>
      <c r="N68" s="125">
        <f t="shared" si="50"/>
        <v>0.58823529411764708</v>
      </c>
      <c r="O68" s="123"/>
      <c r="P68" s="144">
        <v>70</v>
      </c>
      <c r="Q68" s="276">
        <v>1.7</v>
      </c>
      <c r="R68" s="114">
        <f t="shared" si="45"/>
        <v>4.2130977478834124</v>
      </c>
      <c r="S68" s="114">
        <f t="shared" si="46"/>
        <v>37.656012176560125</v>
      </c>
      <c r="T68" s="117">
        <f t="shared" si="51"/>
        <v>158.64846009533582</v>
      </c>
      <c r="U68" s="117">
        <f>SUM($R$59:R68)</f>
        <v>85.329451527624414</v>
      </c>
      <c r="V68" s="117">
        <f>SUM($T$59:T68)</f>
        <v>1271.2395430823224</v>
      </c>
      <c r="W68" s="117">
        <f t="shared" si="52"/>
        <v>14.898016104917462</v>
      </c>
      <c r="X68" s="117">
        <f>SUM(R68:$R$72)</f>
        <v>18.88364622025901</v>
      </c>
      <c r="Y68" s="130">
        <f>SUM(T68:$T$72)</f>
        <v>1203.3110461614174</v>
      </c>
      <c r="Z68" s="114">
        <f t="shared" si="53"/>
        <v>63.722388786889304</v>
      </c>
      <c r="AA68" s="114">
        <f t="shared" si="54"/>
        <v>83.222902653682709</v>
      </c>
      <c r="AB68" s="135">
        <f>SUM(R68:R69)</f>
        <v>5.6855068098919119</v>
      </c>
      <c r="AJ68" s="144">
        <v>70</v>
      </c>
      <c r="AK68" s="276">
        <v>1.7</v>
      </c>
      <c r="AL68" s="114">
        <f t="shared" si="47"/>
        <v>3.7799930324900357</v>
      </c>
      <c r="AM68" s="114">
        <f t="shared" si="48"/>
        <v>37.090757871373633</v>
      </c>
      <c r="AN68" s="117">
        <f t="shared" si="55"/>
        <v>140.20280632356727</v>
      </c>
      <c r="AO68" s="117">
        <f>SUM($AL$59:AL68)</f>
        <v>80.891269932540382</v>
      </c>
      <c r="AP68" s="117">
        <f>SUM($AN$59:AN68)</f>
        <v>1133.852988447881</v>
      </c>
      <c r="AQ68" s="117">
        <f t="shared" si="56"/>
        <v>14.01700071458221</v>
      </c>
      <c r="AR68" s="117">
        <f>SUM(AL68:$AL$72)</f>
        <v>22.888723099949658</v>
      </c>
      <c r="AS68" s="130">
        <f>SUM(AN68:$AN$72)</f>
        <v>1362.9260769801417</v>
      </c>
      <c r="AT68" s="114">
        <f t="shared" si="57"/>
        <v>59.545745344926615</v>
      </c>
      <c r="AU68" s="114">
        <f t="shared" si="58"/>
        <v>79.001273416295362</v>
      </c>
      <c r="AV68" s="135">
        <f>SUM(AL68:AL69)</f>
        <v>5.2251397845176797</v>
      </c>
    </row>
    <row r="69" spans="2:48" x14ac:dyDescent="0.25">
      <c r="B69" s="68"/>
      <c r="C69" s="69"/>
      <c r="D69" s="70"/>
      <c r="E69" s="279">
        <f t="shared" si="59"/>
        <v>1.7</v>
      </c>
      <c r="F69" s="276">
        <v>1.8</v>
      </c>
      <c r="G69" s="71">
        <v>44</v>
      </c>
      <c r="H69" s="72">
        <f t="shared" si="49"/>
        <v>1.4724090620085</v>
      </c>
      <c r="I69" s="72">
        <v>41.02</v>
      </c>
      <c r="J69" s="72">
        <v>1.61</v>
      </c>
      <c r="K69" s="72">
        <v>17.3</v>
      </c>
      <c r="L69" s="72">
        <v>0.66</v>
      </c>
      <c r="M69" s="105">
        <v>0</v>
      </c>
      <c r="N69" s="125">
        <f t="shared" si="50"/>
        <v>0.55555555555555558</v>
      </c>
      <c r="O69" s="123"/>
      <c r="P69" s="144">
        <v>77</v>
      </c>
      <c r="Q69" s="276">
        <v>1.8</v>
      </c>
      <c r="R69" s="114">
        <f t="shared" si="45"/>
        <v>1.4724090620085</v>
      </c>
      <c r="S69" s="114">
        <f t="shared" si="46"/>
        <v>41.691228783412946</v>
      </c>
      <c r="T69" s="117">
        <f t="shared" si="51"/>
        <v>61.38654306696683</v>
      </c>
      <c r="U69" s="117">
        <f>SUM($R$59:R69)</f>
        <v>86.801860589632909</v>
      </c>
      <c r="V69" s="117">
        <f>SUM($T$59:T69)</f>
        <v>1332.6260861492892</v>
      </c>
      <c r="W69" s="117">
        <f t="shared" si="52"/>
        <v>15.352506007324571</v>
      </c>
      <c r="X69" s="117">
        <f>SUM(R69:$R$72)</f>
        <v>14.6705484723756</v>
      </c>
      <c r="Y69" s="130">
        <f>SUM(T69:$T$72)</f>
        <v>1044.6625860660815</v>
      </c>
      <c r="Z69" s="114">
        <f t="shared" si="53"/>
        <v>71.208147945740677</v>
      </c>
      <c r="AA69" s="114">
        <f t="shared" si="54"/>
        <v>86.065656058628662</v>
      </c>
      <c r="AB69" s="135">
        <f>SUM(R69:R70)</f>
        <v>2.5834086269785503</v>
      </c>
      <c r="AJ69" s="144">
        <v>77</v>
      </c>
      <c r="AK69" s="276">
        <v>1.8</v>
      </c>
      <c r="AL69" s="114">
        <f t="shared" si="47"/>
        <v>1.4451467520276442</v>
      </c>
      <c r="AM69" s="114">
        <f t="shared" si="48"/>
        <v>40.855617560773339</v>
      </c>
      <c r="AN69" s="117">
        <f t="shared" si="55"/>
        <v>59.042363020035175</v>
      </c>
      <c r="AO69" s="117">
        <f>SUM($AL$59:AL69)</f>
        <v>82.336416684568022</v>
      </c>
      <c r="AP69" s="117">
        <f>SUM($AN$59:AN69)</f>
        <v>1192.8953514679163</v>
      </c>
      <c r="AQ69" s="117">
        <f t="shared" si="56"/>
        <v>14.488064935324005</v>
      </c>
      <c r="AR69" s="117">
        <f>SUM(AL69:$AL$72)</f>
        <v>19.108730067459625</v>
      </c>
      <c r="AS69" s="130">
        <f>SUM(AN69:$AN$72)</f>
        <v>1222.7232706565742</v>
      </c>
      <c r="AT69" s="114">
        <f t="shared" si="57"/>
        <v>63.987678215139859</v>
      </c>
      <c r="AU69" s="114">
        <f t="shared" si="58"/>
        <v>81.613843308554195</v>
      </c>
      <c r="AV69" s="135">
        <f>SUM(AL69:AL70)</f>
        <v>5.2434936907760088</v>
      </c>
    </row>
    <row r="70" spans="2:48" x14ac:dyDescent="0.25">
      <c r="B70" s="68"/>
      <c r="C70" s="69"/>
      <c r="D70" s="70"/>
      <c r="E70" s="279">
        <f t="shared" si="59"/>
        <v>1.8</v>
      </c>
      <c r="F70" s="276">
        <v>2</v>
      </c>
      <c r="G70" s="71">
        <v>33.200000000000003</v>
      </c>
      <c r="H70" s="72">
        <f t="shared" si="49"/>
        <v>1.1109995649700501</v>
      </c>
      <c r="I70" s="72">
        <v>49.07</v>
      </c>
      <c r="J70" s="72">
        <v>1.57</v>
      </c>
      <c r="K70" s="72">
        <v>18.22</v>
      </c>
      <c r="L70" s="72">
        <v>0.82</v>
      </c>
      <c r="M70" s="105">
        <v>0</v>
      </c>
      <c r="N70" s="125">
        <f t="shared" si="50"/>
        <v>0.5</v>
      </c>
      <c r="O70" s="123"/>
      <c r="P70" s="144">
        <v>84</v>
      </c>
      <c r="Q70" s="276">
        <v>2</v>
      </c>
      <c r="R70" s="114">
        <f t="shared" si="45"/>
        <v>1.1109995649700501</v>
      </c>
      <c r="S70" s="114">
        <f t="shared" si="46"/>
        <v>49.852687188865183</v>
      </c>
      <c r="T70" s="117">
        <f t="shared" si="51"/>
        <v>55.386313779417208</v>
      </c>
      <c r="U70" s="117">
        <f>SUM($R$59:R70)</f>
        <v>87.912860154602953</v>
      </c>
      <c r="V70" s="117">
        <f>SUM($T$59:T70)</f>
        <v>1388.0123999287064</v>
      </c>
      <c r="W70" s="117">
        <f t="shared" si="52"/>
        <v>15.788502358901273</v>
      </c>
      <c r="X70" s="117">
        <f>SUM(R70:$R$72)</f>
        <v>13.198139410367101</v>
      </c>
      <c r="Y70" s="130">
        <f>SUM(T70:$T$72)</f>
        <v>983.27604299911468</v>
      </c>
      <c r="Z70" s="114">
        <f t="shared" si="53"/>
        <v>74.501110529773172</v>
      </c>
      <c r="AA70" s="114">
        <f t="shared" si="54"/>
        <v>87.357360372117924</v>
      </c>
      <c r="AB70" s="134"/>
      <c r="AJ70" s="144">
        <v>84</v>
      </c>
      <c r="AK70" s="276">
        <v>2</v>
      </c>
      <c r="AL70" s="114">
        <f t="shared" si="47"/>
        <v>3.7983469387483648</v>
      </c>
      <c r="AM70" s="114">
        <f t="shared" si="48"/>
        <v>47.93049136210923</v>
      </c>
      <c r="AN70" s="117">
        <f t="shared" si="55"/>
        <v>182.05663513797253</v>
      </c>
      <c r="AO70" s="117">
        <f>SUM($AL$59:AL70)</f>
        <v>86.134763623316388</v>
      </c>
      <c r="AP70" s="117">
        <f>SUM($AN$59:AN70)</f>
        <v>1374.9519866058888</v>
      </c>
      <c r="AQ70" s="117">
        <f t="shared" si="56"/>
        <v>15.962799789163105</v>
      </c>
      <c r="AR70" s="117">
        <f>SUM(AL70:$AL$72)</f>
        <v>17.663583315431978</v>
      </c>
      <c r="AS70" s="130">
        <f>SUM(AN70:$AN$72)</f>
        <v>1163.6809076365391</v>
      </c>
      <c r="AT70" s="114">
        <f t="shared" si="57"/>
        <v>65.880228652126149</v>
      </c>
      <c r="AU70" s="114">
        <f t="shared" si="58"/>
        <v>84.235590153942212</v>
      </c>
      <c r="AV70" s="134"/>
    </row>
    <row r="71" spans="2:48" x14ac:dyDescent="0.25">
      <c r="B71" s="68"/>
      <c r="C71" s="69"/>
      <c r="D71" s="70"/>
      <c r="E71" s="279">
        <f t="shared" si="59"/>
        <v>2</v>
      </c>
      <c r="F71" s="276">
        <v>2.2000000000000002</v>
      </c>
      <c r="G71" s="71">
        <v>42.1</v>
      </c>
      <c r="H71" s="72">
        <f t="shared" si="49"/>
        <v>1.4088277616035876</v>
      </c>
      <c r="I71" s="72">
        <v>57.21</v>
      </c>
      <c r="J71" s="72">
        <v>1.65</v>
      </c>
      <c r="K71" s="72">
        <v>19.53</v>
      </c>
      <c r="L71" s="72">
        <v>0.68</v>
      </c>
      <c r="M71" s="105">
        <v>0</v>
      </c>
      <c r="N71" s="125">
        <f t="shared" si="50"/>
        <v>0.45454545454545453</v>
      </c>
      <c r="O71" s="123"/>
      <c r="P71" s="144">
        <v>91</v>
      </c>
      <c r="Q71" s="276">
        <v>2.2000000000000002</v>
      </c>
      <c r="R71" s="114">
        <f t="shared" si="45"/>
        <v>1.4088277616035876</v>
      </c>
      <c r="S71" s="114">
        <f t="shared" si="46"/>
        <v>58.169801728520596</v>
      </c>
      <c r="T71" s="117">
        <f t="shared" si="51"/>
        <v>81.951231562116178</v>
      </c>
      <c r="U71" s="117">
        <f>SUM($R$59:R71)</f>
        <v>89.321687916206542</v>
      </c>
      <c r="V71" s="117">
        <f>SUM($T$59:T71)</f>
        <v>1469.9636314908225</v>
      </c>
      <c r="W71" s="117">
        <f t="shared" si="52"/>
        <v>16.456962085958434</v>
      </c>
      <c r="X71" s="117">
        <f>SUM(R71:$R$72)</f>
        <v>12.087139845397051</v>
      </c>
      <c r="Y71" s="130">
        <f>SUM(T71:$T$72)</f>
        <v>927.88972921969741</v>
      </c>
      <c r="Z71" s="114">
        <f t="shared" si="53"/>
        <v>76.766690969745881</v>
      </c>
      <c r="AA71" s="114">
        <f t="shared" si="54"/>
        <v>88.617274035404748</v>
      </c>
      <c r="AB71" s="134"/>
      <c r="AJ71" s="144">
        <v>91</v>
      </c>
      <c r="AK71" s="276">
        <v>2.2000000000000002</v>
      </c>
      <c r="AL71" s="114">
        <f t="shared" si="47"/>
        <v>4.0869701403149783</v>
      </c>
      <c r="AM71" s="114">
        <f t="shared" si="48"/>
        <v>57.437719076686541</v>
      </c>
      <c r="AN71" s="117">
        <f t="shared" si="55"/>
        <v>234.74624279421789</v>
      </c>
      <c r="AO71" s="117">
        <f>SUM($AL$59:AL71)</f>
        <v>90.221733763631363</v>
      </c>
      <c r="AP71" s="117">
        <f>SUM($AN$59:AN71)</f>
        <v>1609.6982294001068</v>
      </c>
      <c r="AQ71" s="117">
        <f t="shared" si="56"/>
        <v>17.841579431595679</v>
      </c>
      <c r="AR71" s="117">
        <f>SUM(AL71:$AL$72)</f>
        <v>13.865236376683614</v>
      </c>
      <c r="AS71" s="130">
        <f>SUM(AN71:$AN$72)</f>
        <v>981.6242724985666</v>
      </c>
      <c r="AT71" s="114">
        <f t="shared" si="57"/>
        <v>70.797514433241744</v>
      </c>
      <c r="AU71" s="114">
        <f t="shared" si="58"/>
        <v>88.178248693473876</v>
      </c>
      <c r="AV71" s="134"/>
    </row>
    <row r="72" spans="2:48" x14ac:dyDescent="0.25">
      <c r="B72" s="68"/>
      <c r="C72" s="69"/>
      <c r="D72" s="70"/>
      <c r="E72" s="279">
        <f t="shared" si="59"/>
        <v>2.2000000000000002</v>
      </c>
      <c r="F72" s="276">
        <v>2.8</v>
      </c>
      <c r="G72" s="71">
        <v>319.10000000000002</v>
      </c>
      <c r="H72" s="72">
        <f t="shared" si="49"/>
        <v>10.678312083793463</v>
      </c>
      <c r="I72" s="72">
        <v>77.010000000000005</v>
      </c>
      <c r="J72" s="72">
        <v>2.79</v>
      </c>
      <c r="K72" s="72">
        <v>14.3</v>
      </c>
      <c r="L72" s="72">
        <v>0.25</v>
      </c>
      <c r="M72" s="105">
        <v>0</v>
      </c>
      <c r="N72" s="125">
        <f t="shared" si="50"/>
        <v>0.35714285714285715</v>
      </c>
      <c r="O72" s="123"/>
      <c r="P72" s="144">
        <v>98</v>
      </c>
      <c r="Q72" s="281">
        <v>2.8</v>
      </c>
      <c r="R72" s="115">
        <f t="shared" si="45"/>
        <v>10.678312083793463</v>
      </c>
      <c r="S72" s="115">
        <f t="shared" si="46"/>
        <v>79.220244830778739</v>
      </c>
      <c r="T72" s="118">
        <f t="shared" si="51"/>
        <v>845.93849765758125</v>
      </c>
      <c r="U72" s="118">
        <f>SUM($R$59:R72)</f>
        <v>100</v>
      </c>
      <c r="V72" s="118">
        <f>SUM($T$59:T72)</f>
        <v>2315.9021291484037</v>
      </c>
      <c r="W72" s="118">
        <f t="shared" si="52"/>
        <v>23.159021291484038</v>
      </c>
      <c r="X72" s="118">
        <f>SUM(R72:$R$72)</f>
        <v>10.678312083793463</v>
      </c>
      <c r="Y72" s="131">
        <f>SUM(T72:$T$72)</f>
        <v>845.93849765758125</v>
      </c>
      <c r="Z72" s="115">
        <f>Y72/X72</f>
        <v>79.220244830778739</v>
      </c>
      <c r="AA72" s="115">
        <f t="shared" si="54"/>
        <v>94.660843958103271</v>
      </c>
      <c r="AB72" s="136"/>
      <c r="AJ72" s="144">
        <v>98</v>
      </c>
      <c r="AK72" s="281">
        <v>2.8</v>
      </c>
      <c r="AL72" s="115">
        <f t="shared" si="47"/>
        <v>9.7782662363686352</v>
      </c>
      <c r="AM72" s="115">
        <f t="shared" si="48"/>
        <v>76.381437327453824</v>
      </c>
      <c r="AN72" s="118">
        <f t="shared" si="55"/>
        <v>746.87802970434871</v>
      </c>
      <c r="AO72" s="118">
        <f>SUM($AL$59:AL72)</f>
        <v>100</v>
      </c>
      <c r="AP72" s="118">
        <f>SUM($AN$59:AN72)</f>
        <v>2356.5762591044554</v>
      </c>
      <c r="AQ72" s="118">
        <f t="shared" si="56"/>
        <v>23.565762591044553</v>
      </c>
      <c r="AR72" s="118">
        <f>SUM(AL72:$AL$72)</f>
        <v>9.7782662363686352</v>
      </c>
      <c r="AS72" s="131">
        <f>SUM(AN72:$AN$72)</f>
        <v>746.87802970434871</v>
      </c>
      <c r="AT72" s="115">
        <f t="shared" si="57"/>
        <v>76.381437327453824</v>
      </c>
      <c r="AU72" s="115">
        <f t="shared" si="58"/>
        <v>95.110866881815681</v>
      </c>
      <c r="AV72" s="136"/>
    </row>
    <row r="73" spans="2:48" x14ac:dyDescent="0.25">
      <c r="B73" s="292" t="s">
        <v>82</v>
      </c>
      <c r="C73" s="293"/>
      <c r="D73" s="293"/>
      <c r="E73" s="73"/>
      <c r="F73" s="74"/>
      <c r="G73" s="75">
        <f>SUM(G59:G72)</f>
        <v>2988.2999999999997</v>
      </c>
      <c r="H73" s="76">
        <f>SUM(H59:H72)</f>
        <v>100</v>
      </c>
      <c r="I73" s="77">
        <f>SUMPRODUCT($H$59:$H$72,I59:I72)/$H$73</f>
        <v>22.749505404410538</v>
      </c>
      <c r="J73" s="77">
        <f>SUMPRODUCT($H$59:$H$72,J59:J72)/$H$73</f>
        <v>1.2760884114714053</v>
      </c>
      <c r="K73" s="77">
        <f>SUMPRODUCT($H$59:$H$72,K59:K72)/$H$73</f>
        <v>22.665176187129806</v>
      </c>
      <c r="L73" s="77">
        <f>SUMPRODUCT($H$59:$H$72,L59:L72)/$H$73</f>
        <v>0.56662751397115407</v>
      </c>
      <c r="M73" s="106">
        <f>SUMPRODUCT($H$59:$H$72,M59:M72)/$H$73</f>
        <v>4.328865910383831</v>
      </c>
      <c r="N73" s="124"/>
      <c r="O73" s="124"/>
    </row>
    <row r="74" spans="2:48" ht="36.6" customHeight="1" x14ac:dyDescent="0.25">
      <c r="B74" s="65" t="s">
        <v>89</v>
      </c>
      <c r="C74" s="66" t="s">
        <v>90</v>
      </c>
      <c r="D74" s="148">
        <f>Pretreatment!R47</f>
        <v>7.1129707112970699</v>
      </c>
      <c r="E74" s="67"/>
      <c r="F74" s="67"/>
      <c r="G74" s="104"/>
      <c r="H74" s="67"/>
      <c r="I74" s="67"/>
      <c r="J74" s="67"/>
      <c r="K74" s="67"/>
      <c r="L74" s="67"/>
      <c r="M74" s="67"/>
      <c r="N74" s="122" t="s">
        <v>146</v>
      </c>
      <c r="O74" s="122"/>
      <c r="P74" s="142"/>
      <c r="Q74" s="301" t="s">
        <v>151</v>
      </c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152">
        <f>D74</f>
        <v>7.1129707112970699</v>
      </c>
    </row>
    <row r="75" spans="2:48" x14ac:dyDescent="0.25">
      <c r="B75" s="68"/>
      <c r="C75" s="69"/>
      <c r="D75" s="70"/>
      <c r="E75" s="278">
        <v>1.25</v>
      </c>
      <c r="F75" s="276">
        <v>1.3</v>
      </c>
      <c r="G75" s="107">
        <v>305</v>
      </c>
      <c r="H75" s="72">
        <f>G75/$G$89*100</f>
        <v>27.636824936571223</v>
      </c>
      <c r="I75" s="72">
        <v>2.99</v>
      </c>
      <c r="J75" s="72">
        <v>1</v>
      </c>
      <c r="K75" s="72">
        <v>29.1</v>
      </c>
      <c r="L75" s="72">
        <v>0.76</v>
      </c>
      <c r="M75" s="105">
        <v>8.5</v>
      </c>
      <c r="N75" s="125">
        <f>1/Q75</f>
        <v>0.76923076923076916</v>
      </c>
      <c r="O75" s="123"/>
      <c r="P75" s="144">
        <v>7</v>
      </c>
      <c r="Q75" s="280">
        <v>1.3</v>
      </c>
      <c r="R75" s="113">
        <f t="shared" ref="R75:R88" si="60">H75</f>
        <v>27.636824936571223</v>
      </c>
      <c r="S75" s="146">
        <f t="shared" ref="S75:S88" si="61">I75*100/(100-J75)</f>
        <v>3.0202020202020203</v>
      </c>
      <c r="T75" s="116">
        <f>R75*S75</f>
        <v>83.468794505401974</v>
      </c>
      <c r="U75" s="116">
        <f>SUM($R$75:R75)</f>
        <v>27.636824936571223</v>
      </c>
      <c r="V75" s="116">
        <f>SUM($T$75:T75)</f>
        <v>83.468794505401974</v>
      </c>
      <c r="W75" s="116">
        <f>V75/U75</f>
        <v>3.0202020202020199</v>
      </c>
      <c r="X75" s="116">
        <f>SUM(R75:$R$88)</f>
        <v>100.00000000000001</v>
      </c>
      <c r="Y75" s="129">
        <f>SUM(T75:$T$88)</f>
        <v>2430.7467313772549</v>
      </c>
      <c r="Z75" s="113">
        <f>Y75/X75</f>
        <v>24.307467313772545</v>
      </c>
      <c r="AA75" s="133">
        <f>U75-R75/2</f>
        <v>13.818412468285612</v>
      </c>
      <c r="AB75" s="67"/>
    </row>
    <row r="76" spans="2:48" x14ac:dyDescent="0.25">
      <c r="B76" s="68"/>
      <c r="C76" s="69"/>
      <c r="D76" s="70"/>
      <c r="E76" s="279">
        <f>F75</f>
        <v>1.3</v>
      </c>
      <c r="F76" s="276">
        <v>1.325</v>
      </c>
      <c r="G76" s="107">
        <v>90.8</v>
      </c>
      <c r="H76" s="72">
        <f t="shared" ref="H76:H88" si="62">G76/$G$89*100</f>
        <v>8.2276187024284155</v>
      </c>
      <c r="I76" s="72">
        <v>8.85</v>
      </c>
      <c r="J76" s="72">
        <v>0.85</v>
      </c>
      <c r="K76" s="72">
        <v>27.45</v>
      </c>
      <c r="L76" s="72">
        <v>0.7</v>
      </c>
      <c r="M76" s="105">
        <v>8</v>
      </c>
      <c r="N76" s="125">
        <f t="shared" ref="N76:N88" si="63">1/Q76</f>
        <v>0.75471698113207553</v>
      </c>
      <c r="O76" s="123"/>
      <c r="P76" s="144">
        <v>14</v>
      </c>
      <c r="Q76" s="276">
        <v>1.325</v>
      </c>
      <c r="R76" s="114">
        <f t="shared" si="60"/>
        <v>8.2276187024284155</v>
      </c>
      <c r="S76" s="147">
        <f t="shared" si="61"/>
        <v>8.9258698940998489</v>
      </c>
      <c r="T76" s="117">
        <f t="shared" ref="T76:T88" si="64">R76*S76</f>
        <v>73.438654076138661</v>
      </c>
      <c r="U76" s="117">
        <f>SUM($R$75:R76)</f>
        <v>35.864443638999639</v>
      </c>
      <c r="V76" s="117">
        <f>SUM($T$75:T76)</f>
        <v>156.90744858154062</v>
      </c>
      <c r="W76" s="117">
        <f t="shared" ref="W76:W88" si="65">V76/U76</f>
        <v>4.3750141549921233</v>
      </c>
      <c r="X76" s="117">
        <f>SUM(R76:$R$88)</f>
        <v>72.363175063428784</v>
      </c>
      <c r="Y76" s="130">
        <f>SUM(T76:$T$88)</f>
        <v>2347.2779368718529</v>
      </c>
      <c r="Z76" s="114">
        <f t="shared" ref="Z76:Z87" si="66">Y76/X76</f>
        <v>32.437464702376367</v>
      </c>
      <c r="AA76" s="114">
        <f t="shared" ref="AA76:AA88" si="67">U76-R76/2</f>
        <v>31.750634287785431</v>
      </c>
      <c r="AB76" s="134"/>
    </row>
    <row r="77" spans="2:48" x14ac:dyDescent="0.25">
      <c r="B77" s="68"/>
      <c r="C77" s="69"/>
      <c r="D77" s="70"/>
      <c r="E77" s="279">
        <f t="shared" ref="E77:E88" si="68">F76</f>
        <v>1.325</v>
      </c>
      <c r="F77" s="276">
        <v>1.35</v>
      </c>
      <c r="G77" s="107">
        <v>64.099999999999994</v>
      </c>
      <c r="H77" s="72">
        <f t="shared" si="62"/>
        <v>5.8082638637187385</v>
      </c>
      <c r="I77" s="72">
        <v>10.02</v>
      </c>
      <c r="J77" s="72">
        <v>0.82</v>
      </c>
      <c r="K77" s="72">
        <v>25.75</v>
      </c>
      <c r="L77" s="72">
        <v>0.65</v>
      </c>
      <c r="M77" s="105">
        <v>7</v>
      </c>
      <c r="N77" s="125">
        <f t="shared" si="63"/>
        <v>0.7407407407407407</v>
      </c>
      <c r="O77" s="123"/>
      <c r="P77" s="144">
        <v>21</v>
      </c>
      <c r="Q77" s="276">
        <v>1.35</v>
      </c>
      <c r="R77" s="114">
        <f t="shared" si="60"/>
        <v>5.8082638637187385</v>
      </c>
      <c r="S77" s="147">
        <f t="shared" si="61"/>
        <v>10.102843315184513</v>
      </c>
      <c r="T77" s="117">
        <f t="shared" si="64"/>
        <v>58.67997974839863</v>
      </c>
      <c r="U77" s="117">
        <f>SUM($R$75:R77)</f>
        <v>41.672707502718374</v>
      </c>
      <c r="V77" s="117">
        <f>SUM($T$75:T77)</f>
        <v>215.58742832993926</v>
      </c>
      <c r="W77" s="117">
        <f t="shared" si="65"/>
        <v>5.1733482475520978</v>
      </c>
      <c r="X77" s="117">
        <f>SUM(R77:$R$88)</f>
        <v>64.135556361000368</v>
      </c>
      <c r="Y77" s="130">
        <f>SUM(T77:$T$88)</f>
        <v>2273.8392827957146</v>
      </c>
      <c r="Z77" s="114">
        <f t="shared" si="66"/>
        <v>35.453645556560474</v>
      </c>
      <c r="AA77" s="114">
        <f t="shared" si="67"/>
        <v>38.768575570859007</v>
      </c>
      <c r="AB77" s="135">
        <f>SUM(R76:R79)</f>
        <v>21.946357375860821</v>
      </c>
    </row>
    <row r="78" spans="2:48" x14ac:dyDescent="0.25">
      <c r="B78" s="68"/>
      <c r="C78" s="69"/>
      <c r="D78" s="70"/>
      <c r="E78" s="279">
        <f t="shared" si="68"/>
        <v>1.35</v>
      </c>
      <c r="F78" s="276">
        <v>1.375</v>
      </c>
      <c r="G78" s="107">
        <v>55.5</v>
      </c>
      <c r="H78" s="72">
        <f t="shared" si="62"/>
        <v>5.0289960130482063</v>
      </c>
      <c r="I78" s="72">
        <v>11.59</v>
      </c>
      <c r="J78" s="72">
        <v>0.85</v>
      </c>
      <c r="K78" s="72">
        <v>25.26</v>
      </c>
      <c r="L78" s="72">
        <v>0.61</v>
      </c>
      <c r="M78" s="105">
        <v>7</v>
      </c>
      <c r="N78" s="125">
        <f t="shared" si="63"/>
        <v>0.72727272727272729</v>
      </c>
      <c r="O78" s="123"/>
      <c r="P78" s="144">
        <v>28</v>
      </c>
      <c r="Q78" s="276">
        <v>1.375</v>
      </c>
      <c r="R78" s="114">
        <f t="shared" si="60"/>
        <v>5.0289960130482063</v>
      </c>
      <c r="S78" s="147">
        <f t="shared" si="61"/>
        <v>11.689359556227936</v>
      </c>
      <c r="T78" s="117">
        <f t="shared" si="64"/>
        <v>58.785742603357242</v>
      </c>
      <c r="U78" s="117">
        <f>SUM($R$75:R78)</f>
        <v>46.701703515766582</v>
      </c>
      <c r="V78" s="117">
        <f>SUM($T$75:T78)</f>
        <v>274.37317093329648</v>
      </c>
      <c r="W78" s="117">
        <f t="shared" si="65"/>
        <v>5.8750141917343033</v>
      </c>
      <c r="X78" s="117">
        <f>SUM(R78:$R$88)</f>
        <v>58.327292497281618</v>
      </c>
      <c r="Y78" s="130">
        <f>SUM(T78:$T$88)</f>
        <v>2215.1593030473159</v>
      </c>
      <c r="Z78" s="114">
        <f t="shared" si="66"/>
        <v>37.978092385319528</v>
      </c>
      <c r="AA78" s="114">
        <f t="shared" si="67"/>
        <v>44.187205509242482</v>
      </c>
      <c r="AB78" s="135">
        <f>SUM(R77:R80)</f>
        <v>18.2674882203697</v>
      </c>
    </row>
    <row r="79" spans="2:48" x14ac:dyDescent="0.25">
      <c r="B79" s="68"/>
      <c r="C79" s="69"/>
      <c r="D79" s="70"/>
      <c r="E79" s="279">
        <f t="shared" si="68"/>
        <v>1.375</v>
      </c>
      <c r="F79" s="276">
        <v>1.4</v>
      </c>
      <c r="G79" s="107">
        <v>31.8</v>
      </c>
      <c r="H79" s="72">
        <f t="shared" si="62"/>
        <v>2.8814787966654589</v>
      </c>
      <c r="I79" s="72">
        <v>14.48</v>
      </c>
      <c r="J79" s="72">
        <v>0.76</v>
      </c>
      <c r="K79" s="72">
        <v>23.44</v>
      </c>
      <c r="L79" s="72">
        <v>0.57999999999999996</v>
      </c>
      <c r="M79" s="105">
        <v>5</v>
      </c>
      <c r="N79" s="125">
        <f t="shared" si="63"/>
        <v>0.7142857142857143</v>
      </c>
      <c r="O79" s="123"/>
      <c r="P79" s="144">
        <v>35</v>
      </c>
      <c r="Q79" s="276">
        <v>1.4</v>
      </c>
      <c r="R79" s="114">
        <f t="shared" si="60"/>
        <v>2.8814787966654589</v>
      </c>
      <c r="S79" s="147">
        <f t="shared" si="61"/>
        <v>14.590890769850867</v>
      </c>
      <c r="T79" s="117">
        <f t="shared" si="64"/>
        <v>42.043342377787027</v>
      </c>
      <c r="U79" s="117">
        <f>SUM($R$75:R79)</f>
        <v>49.583182312432044</v>
      </c>
      <c r="V79" s="117">
        <f>SUM($T$75:T79)</f>
        <v>316.41651331108352</v>
      </c>
      <c r="W79" s="117">
        <f t="shared" si="65"/>
        <v>6.3815289490152001</v>
      </c>
      <c r="X79" s="117">
        <f>SUM(R79:$R$88)</f>
        <v>53.298296484233425</v>
      </c>
      <c r="Y79" s="130">
        <f>SUM(T79:$T$88)</f>
        <v>2156.3735604439585</v>
      </c>
      <c r="Z79" s="114">
        <f t="shared" si="66"/>
        <v>40.458583157190617</v>
      </c>
      <c r="AA79" s="114">
        <f t="shared" si="67"/>
        <v>48.142442914099313</v>
      </c>
      <c r="AB79" s="135">
        <f>SUM(R78:R81)</f>
        <v>16.165277274374773</v>
      </c>
    </row>
    <row r="80" spans="2:48" x14ac:dyDescent="0.25">
      <c r="B80" s="68"/>
      <c r="C80" s="69"/>
      <c r="D80" s="70"/>
      <c r="E80" s="279">
        <f t="shared" si="68"/>
        <v>1.4</v>
      </c>
      <c r="F80" s="276">
        <v>1.425</v>
      </c>
      <c r="G80" s="107">
        <v>50.2</v>
      </c>
      <c r="H80" s="72">
        <f t="shared" si="62"/>
        <v>4.5487495469372963</v>
      </c>
      <c r="I80" s="72">
        <v>16.809999999999999</v>
      </c>
      <c r="J80" s="72">
        <v>0.74</v>
      </c>
      <c r="K80" s="72">
        <v>22.1</v>
      </c>
      <c r="L80" s="72">
        <v>0.53</v>
      </c>
      <c r="M80" s="105">
        <v>3.5</v>
      </c>
      <c r="N80" s="125">
        <f t="shared" si="63"/>
        <v>0.70175438596491224</v>
      </c>
      <c r="O80" s="123"/>
      <c r="P80" s="144">
        <v>42</v>
      </c>
      <c r="Q80" s="276">
        <v>1.425</v>
      </c>
      <c r="R80" s="114">
        <f t="shared" si="60"/>
        <v>4.5487495469372963</v>
      </c>
      <c r="S80" s="114">
        <f t="shared" si="61"/>
        <v>16.935321378198665</v>
      </c>
      <c r="T80" s="117">
        <f t="shared" si="64"/>
        <v>77.034535446318685</v>
      </c>
      <c r="U80" s="117">
        <f>SUM($R$75:R80)</f>
        <v>54.131931859369338</v>
      </c>
      <c r="V80" s="117">
        <f>SUM($T$75:T80)</f>
        <v>393.45104875740219</v>
      </c>
      <c r="W80" s="117">
        <f t="shared" si="65"/>
        <v>7.2683725712867266</v>
      </c>
      <c r="X80" s="117">
        <f>SUM(R80:$R$88)</f>
        <v>50.416817687567963</v>
      </c>
      <c r="Y80" s="130">
        <f>SUM(T80:$T$88)</f>
        <v>2114.3302180661717</v>
      </c>
      <c r="Z80" s="114">
        <f t="shared" si="66"/>
        <v>41.93700267177978</v>
      </c>
      <c r="AA80" s="114">
        <f t="shared" si="67"/>
        <v>51.857557085900687</v>
      </c>
      <c r="AB80" s="135">
        <f>SUM(R79:R82)</f>
        <v>16.872055092424795</v>
      </c>
    </row>
    <row r="81" spans="2:28" x14ac:dyDescent="0.25">
      <c r="B81" s="68"/>
      <c r="C81" s="69"/>
      <c r="D81" s="70"/>
      <c r="E81" s="279">
        <f t="shared" si="68"/>
        <v>1.425</v>
      </c>
      <c r="F81" s="276">
        <v>1.45</v>
      </c>
      <c r="G81" s="107">
        <v>40.9</v>
      </c>
      <c r="H81" s="72">
        <f t="shared" si="62"/>
        <v>3.7060529177238131</v>
      </c>
      <c r="I81" s="72">
        <v>18.82</v>
      </c>
      <c r="J81" s="72">
        <v>0.85</v>
      </c>
      <c r="K81" s="72">
        <v>20.92</v>
      </c>
      <c r="L81" s="72">
        <v>0.49</v>
      </c>
      <c r="M81" s="105">
        <v>2</v>
      </c>
      <c r="N81" s="125">
        <f t="shared" si="63"/>
        <v>0.68965517241379315</v>
      </c>
      <c r="O81" s="123"/>
      <c r="P81" s="144">
        <v>49</v>
      </c>
      <c r="Q81" s="276">
        <v>1.45</v>
      </c>
      <c r="R81" s="114">
        <f t="shared" si="60"/>
        <v>3.7060529177238131</v>
      </c>
      <c r="S81" s="114">
        <f t="shared" si="61"/>
        <v>18.981341401916286</v>
      </c>
      <c r="T81" s="117">
        <f t="shared" si="64"/>
        <v>70.345855684883659</v>
      </c>
      <c r="U81" s="117">
        <f>SUM($R$75:R81)</f>
        <v>57.837984777093155</v>
      </c>
      <c r="V81" s="117">
        <f>SUM($T$75:T81)</f>
        <v>463.79690444228584</v>
      </c>
      <c r="W81" s="117">
        <f t="shared" si="65"/>
        <v>8.0188980689723728</v>
      </c>
      <c r="X81" s="117">
        <f>SUM(R81:$R$88)</f>
        <v>45.868068140630669</v>
      </c>
      <c r="Y81" s="130">
        <f>SUM(T81:$T$88)</f>
        <v>2037.2956826198529</v>
      </c>
      <c r="Z81" s="114">
        <f t="shared" si="66"/>
        <v>44.416426616737837</v>
      </c>
      <c r="AA81" s="114">
        <f t="shared" si="67"/>
        <v>55.98495831823125</v>
      </c>
      <c r="AB81" s="135">
        <f>SUM(R80:R83)</f>
        <v>20.224719101123597</v>
      </c>
    </row>
    <row r="82" spans="2:28" x14ac:dyDescent="0.25">
      <c r="B82" s="68"/>
      <c r="C82" s="69"/>
      <c r="D82" s="70"/>
      <c r="E82" s="279">
        <f t="shared" si="68"/>
        <v>1.45</v>
      </c>
      <c r="F82" s="276">
        <v>1.5</v>
      </c>
      <c r="G82" s="107">
        <v>63.3</v>
      </c>
      <c r="H82" s="72">
        <f t="shared" si="62"/>
        <v>5.7357738310982249</v>
      </c>
      <c r="I82" s="72">
        <v>22.8</v>
      </c>
      <c r="J82" s="72">
        <v>0.74</v>
      </c>
      <c r="K82" s="72">
        <v>20.03</v>
      </c>
      <c r="L82" s="72">
        <v>0.48</v>
      </c>
      <c r="M82" s="105">
        <v>1</v>
      </c>
      <c r="N82" s="125">
        <f t="shared" si="63"/>
        <v>0.66666666666666663</v>
      </c>
      <c r="O82" s="123"/>
      <c r="P82" s="144">
        <v>56</v>
      </c>
      <c r="Q82" s="276">
        <v>1.5</v>
      </c>
      <c r="R82" s="114">
        <f t="shared" si="60"/>
        <v>5.7357738310982249</v>
      </c>
      <c r="S82" s="114">
        <f t="shared" si="61"/>
        <v>22.969977835986299</v>
      </c>
      <c r="T82" s="117">
        <f t="shared" si="64"/>
        <v>131.75059777255646</v>
      </c>
      <c r="U82" s="117">
        <f>SUM($R$75:R82)</f>
        <v>63.573758608191383</v>
      </c>
      <c r="V82" s="117">
        <f>SUM($T$75:T82)</f>
        <v>595.54750221484232</v>
      </c>
      <c r="W82" s="117">
        <f t="shared" si="65"/>
        <v>9.3678196043942403</v>
      </c>
      <c r="X82" s="117">
        <f>SUM(R82:$R$88)</f>
        <v>42.162015222906852</v>
      </c>
      <c r="Y82" s="130">
        <f>SUM(T82:$T$88)</f>
        <v>1966.9498269349692</v>
      </c>
      <c r="Z82" s="114">
        <f t="shared" si="66"/>
        <v>46.652177713419988</v>
      </c>
      <c r="AA82" s="114">
        <f t="shared" si="67"/>
        <v>60.705871692642269</v>
      </c>
      <c r="AB82" s="135"/>
    </row>
    <row r="83" spans="2:28" x14ac:dyDescent="0.25">
      <c r="B83" s="68"/>
      <c r="C83" s="69"/>
      <c r="D83" s="70"/>
      <c r="E83" s="279">
        <f t="shared" si="68"/>
        <v>1.5</v>
      </c>
      <c r="F83" s="276">
        <v>1.6</v>
      </c>
      <c r="G83" s="107">
        <v>68.8</v>
      </c>
      <c r="H83" s="72">
        <f>G83/$G$89*100</f>
        <v>6.2341428053642627</v>
      </c>
      <c r="I83" s="72">
        <v>28.8</v>
      </c>
      <c r="J83" s="72">
        <v>0.92</v>
      </c>
      <c r="K83" s="72">
        <v>19</v>
      </c>
      <c r="L83" s="72">
        <v>0.47</v>
      </c>
      <c r="M83" s="105">
        <v>0.5</v>
      </c>
      <c r="N83" s="125">
        <f t="shared" si="63"/>
        <v>0.625</v>
      </c>
      <c r="O83" s="123"/>
      <c r="P83" s="144">
        <v>63</v>
      </c>
      <c r="Q83" s="276">
        <v>1.6</v>
      </c>
      <c r="R83" s="114">
        <f t="shared" si="60"/>
        <v>6.2341428053642627</v>
      </c>
      <c r="S83" s="114">
        <f t="shared" si="61"/>
        <v>29.067420266451354</v>
      </c>
      <c r="T83" s="117">
        <f t="shared" si="64"/>
        <v>181.21044892459707</v>
      </c>
      <c r="U83" s="117">
        <f>SUM($R$75:R83)</f>
        <v>69.807901413555641</v>
      </c>
      <c r="V83" s="117">
        <f>SUM($T$75:T83)</f>
        <v>776.75795113943946</v>
      </c>
      <c r="W83" s="117">
        <f t="shared" si="65"/>
        <v>11.127077815128315</v>
      </c>
      <c r="X83" s="117">
        <f>SUM(R83:$R$88)</f>
        <v>36.426241391808624</v>
      </c>
      <c r="Y83" s="130">
        <f>SUM(T83:$T$88)</f>
        <v>1835.1992291624124</v>
      </c>
      <c r="Z83" s="114">
        <f t="shared" si="66"/>
        <v>50.381240529941252</v>
      </c>
      <c r="AA83" s="114">
        <f t="shared" si="67"/>
        <v>66.690830010873512</v>
      </c>
      <c r="AB83" s="135">
        <f>SUM(R82:R84)</f>
        <v>14.960130482058718</v>
      </c>
    </row>
    <row r="84" spans="2:28" x14ac:dyDescent="0.25">
      <c r="B84" s="68"/>
      <c r="C84" s="69"/>
      <c r="D84" s="70"/>
      <c r="E84" s="279">
        <f t="shared" si="68"/>
        <v>1.6</v>
      </c>
      <c r="F84" s="276">
        <v>1.7</v>
      </c>
      <c r="G84" s="107">
        <v>33</v>
      </c>
      <c r="H84" s="72">
        <f t="shared" si="62"/>
        <v>2.9902138455962306</v>
      </c>
      <c r="I84" s="72">
        <v>35.25</v>
      </c>
      <c r="J84" s="72">
        <v>1.0900000000000001</v>
      </c>
      <c r="K84" s="72">
        <v>18.47</v>
      </c>
      <c r="L84" s="72">
        <v>0.42</v>
      </c>
      <c r="M84" s="105">
        <v>0.5</v>
      </c>
      <c r="N84" s="125">
        <f t="shared" si="63"/>
        <v>0.58823529411764708</v>
      </c>
      <c r="O84" s="123"/>
      <c r="P84" s="144">
        <v>70</v>
      </c>
      <c r="Q84" s="276">
        <v>1.7</v>
      </c>
      <c r="R84" s="114">
        <f t="shared" si="60"/>
        <v>2.9902138455962306</v>
      </c>
      <c r="S84" s="114">
        <f t="shared" si="61"/>
        <v>35.638459205338187</v>
      </c>
      <c r="T84" s="117">
        <f t="shared" si="64"/>
        <v>106.56661415151868</v>
      </c>
      <c r="U84" s="117">
        <f>SUM($R$75:R84)</f>
        <v>72.798115259151871</v>
      </c>
      <c r="V84" s="117">
        <f>SUM($T$75:T84)</f>
        <v>883.32456529095816</v>
      </c>
      <c r="W84" s="117">
        <f t="shared" si="65"/>
        <v>12.133893331529766</v>
      </c>
      <c r="X84" s="117">
        <f>SUM(R84:$R$88)</f>
        <v>30.192098586444367</v>
      </c>
      <c r="Y84" s="130">
        <f>SUM(T84:$T$88)</f>
        <v>1653.9887802378157</v>
      </c>
      <c r="Z84" s="114">
        <f t="shared" si="66"/>
        <v>54.782173405475788</v>
      </c>
      <c r="AA84" s="114">
        <f t="shared" si="67"/>
        <v>71.303008336353756</v>
      </c>
      <c r="AB84" s="135">
        <f>SUM(R84:R85)</f>
        <v>4.3856469735411387</v>
      </c>
    </row>
    <row r="85" spans="2:28" x14ac:dyDescent="0.25">
      <c r="B85" s="68"/>
      <c r="C85" s="69"/>
      <c r="D85" s="70"/>
      <c r="E85" s="279">
        <f t="shared" si="68"/>
        <v>1.7</v>
      </c>
      <c r="F85" s="276">
        <v>1.8</v>
      </c>
      <c r="G85" s="107">
        <v>15.4</v>
      </c>
      <c r="H85" s="72">
        <f t="shared" si="62"/>
        <v>1.3954331279449077</v>
      </c>
      <c r="I85" s="72">
        <v>38.82</v>
      </c>
      <c r="J85" s="72">
        <v>1.0900000000000001</v>
      </c>
      <c r="K85" s="72">
        <v>17.68</v>
      </c>
      <c r="L85" s="72">
        <v>0.52</v>
      </c>
      <c r="M85" s="105">
        <v>0</v>
      </c>
      <c r="N85" s="125">
        <f t="shared" si="63"/>
        <v>0.55555555555555558</v>
      </c>
      <c r="O85" s="123"/>
      <c r="P85" s="144">
        <v>77</v>
      </c>
      <c r="Q85" s="276">
        <v>1.8</v>
      </c>
      <c r="R85" s="114">
        <f t="shared" si="60"/>
        <v>1.3954331279449077</v>
      </c>
      <c r="S85" s="114">
        <f t="shared" si="61"/>
        <v>39.24780103124052</v>
      </c>
      <c r="T85" s="117">
        <f t="shared" si="64"/>
        <v>54.767681757983333</v>
      </c>
      <c r="U85" s="117">
        <f>SUM($R$75:R85)</f>
        <v>74.193548387096783</v>
      </c>
      <c r="V85" s="117">
        <f>SUM($T$75:T85)</f>
        <v>938.09224704894154</v>
      </c>
      <c r="W85" s="117">
        <f t="shared" si="65"/>
        <v>12.643852025442254</v>
      </c>
      <c r="X85" s="117">
        <f>SUM(R85:$R$88)</f>
        <v>27.201884740848136</v>
      </c>
      <c r="Y85" s="130">
        <f>SUM(T85:$T$88)</f>
        <v>1547.4221660862968</v>
      </c>
      <c r="Z85" s="114">
        <f t="shared" si="66"/>
        <v>56.886579030407624</v>
      </c>
      <c r="AA85" s="114">
        <f t="shared" si="67"/>
        <v>73.495831823124334</v>
      </c>
      <c r="AB85" s="135">
        <f>SUM(R85:R86)</f>
        <v>10.094237042406672</v>
      </c>
    </row>
    <row r="86" spans="2:28" x14ac:dyDescent="0.25">
      <c r="B86" s="68"/>
      <c r="C86" s="69"/>
      <c r="D86" s="70"/>
      <c r="E86" s="279">
        <f t="shared" si="68"/>
        <v>1.8</v>
      </c>
      <c r="F86" s="276">
        <v>2</v>
      </c>
      <c r="G86" s="107">
        <v>96</v>
      </c>
      <c r="H86" s="72">
        <f t="shared" si="62"/>
        <v>8.698803914461763</v>
      </c>
      <c r="I86" s="72">
        <v>46.97</v>
      </c>
      <c r="J86" s="72">
        <v>1.08</v>
      </c>
      <c r="K86" s="72">
        <v>17.21</v>
      </c>
      <c r="L86" s="72">
        <v>0.71</v>
      </c>
      <c r="M86" s="105">
        <v>0</v>
      </c>
      <c r="N86" s="125">
        <f t="shared" si="63"/>
        <v>0.5</v>
      </c>
      <c r="O86" s="123"/>
      <c r="P86" s="144">
        <v>84</v>
      </c>
      <c r="Q86" s="276">
        <v>2</v>
      </c>
      <c r="R86" s="114">
        <f t="shared" si="60"/>
        <v>8.698803914461763</v>
      </c>
      <c r="S86" s="114">
        <f t="shared" si="61"/>
        <v>47.482814395471088</v>
      </c>
      <c r="T86" s="117">
        <f t="shared" si="64"/>
        <v>413.04369173298528</v>
      </c>
      <c r="U86" s="117">
        <f>SUM($R$75:R86)</f>
        <v>82.892352301558546</v>
      </c>
      <c r="V86" s="117">
        <f>SUM($T$75:T86)</f>
        <v>1351.1359387819268</v>
      </c>
      <c r="W86" s="117">
        <f t="shared" si="65"/>
        <v>16.299886554872479</v>
      </c>
      <c r="X86" s="117">
        <f>SUM(R86:$R$88)</f>
        <v>25.806451612903224</v>
      </c>
      <c r="Y86" s="130">
        <f>SUM(T86:$T$88)</f>
        <v>1492.6544843283136</v>
      </c>
      <c r="Z86" s="114">
        <f t="shared" si="66"/>
        <v>57.840361267722159</v>
      </c>
      <c r="AA86" s="114">
        <f t="shared" si="67"/>
        <v>78.542950344327664</v>
      </c>
      <c r="AB86" s="134"/>
    </row>
    <row r="87" spans="2:28" x14ac:dyDescent="0.25">
      <c r="B87" s="68"/>
      <c r="C87" s="69"/>
      <c r="D87" s="70"/>
      <c r="E87" s="279">
        <f t="shared" si="68"/>
        <v>2</v>
      </c>
      <c r="F87" s="276">
        <v>2.2000000000000002</v>
      </c>
      <c r="G87" s="107">
        <v>99</v>
      </c>
      <c r="H87" s="72">
        <f t="shared" si="62"/>
        <v>8.9706415367886922</v>
      </c>
      <c r="I87" s="72">
        <v>56.61</v>
      </c>
      <c r="J87" s="72">
        <v>1.08</v>
      </c>
      <c r="K87" s="72">
        <v>18.87</v>
      </c>
      <c r="L87" s="72">
        <v>0.71</v>
      </c>
      <c r="M87" s="105">
        <v>0</v>
      </c>
      <c r="N87" s="125">
        <f t="shared" si="63"/>
        <v>0.45454545454545453</v>
      </c>
      <c r="O87" s="123"/>
      <c r="P87" s="144">
        <v>91</v>
      </c>
      <c r="Q87" s="276">
        <v>2.2000000000000002</v>
      </c>
      <c r="R87" s="114">
        <f t="shared" si="60"/>
        <v>8.9706415367886922</v>
      </c>
      <c r="S87" s="114">
        <f t="shared" si="61"/>
        <v>57.228063081277796</v>
      </c>
      <c r="T87" s="117">
        <f t="shared" si="64"/>
        <v>513.37243974687408</v>
      </c>
      <c r="U87" s="117">
        <f>SUM($R$75:R87)</f>
        <v>91.862993838347236</v>
      </c>
      <c r="V87" s="117">
        <f>SUM($T$75:T87)</f>
        <v>1864.5083785288009</v>
      </c>
      <c r="W87" s="117">
        <f t="shared" si="65"/>
        <v>20.296621094341926</v>
      </c>
      <c r="X87" s="117">
        <f>SUM(R87:$R$88)</f>
        <v>17.107647698441465</v>
      </c>
      <c r="Y87" s="130">
        <f>SUM(T87:$T$88)</f>
        <v>1079.6107925953283</v>
      </c>
      <c r="Z87" s="114">
        <f t="shared" si="66"/>
        <v>63.106910524798955</v>
      </c>
      <c r="AA87" s="114">
        <f t="shared" si="67"/>
        <v>87.377673069952891</v>
      </c>
      <c r="AB87" s="134"/>
    </row>
    <row r="88" spans="2:28" x14ac:dyDescent="0.25">
      <c r="B88" s="68"/>
      <c r="C88" s="69"/>
      <c r="D88" s="70"/>
      <c r="E88" s="279">
        <f t="shared" si="68"/>
        <v>2.2000000000000002</v>
      </c>
      <c r="F88" s="276">
        <v>2.8</v>
      </c>
      <c r="G88" s="107">
        <v>89.8</v>
      </c>
      <c r="H88" s="72">
        <f t="shared" si="62"/>
        <v>8.1370061616527725</v>
      </c>
      <c r="I88" s="72">
        <v>68.92</v>
      </c>
      <c r="J88" s="72">
        <v>0.96</v>
      </c>
      <c r="K88" s="72">
        <v>25.11</v>
      </c>
      <c r="L88" s="72">
        <v>0.54</v>
      </c>
      <c r="M88" s="105">
        <v>0</v>
      </c>
      <c r="N88" s="125">
        <f t="shared" si="63"/>
        <v>0.35714285714285715</v>
      </c>
      <c r="O88" s="123"/>
      <c r="P88" s="144">
        <v>98</v>
      </c>
      <c r="Q88" s="281">
        <v>2.8</v>
      </c>
      <c r="R88" s="115">
        <f t="shared" si="60"/>
        <v>8.1370061616527725</v>
      </c>
      <c r="S88" s="115">
        <f t="shared" si="61"/>
        <v>69.588045234248781</v>
      </c>
      <c r="T88" s="118">
        <f t="shared" si="64"/>
        <v>566.23835284845416</v>
      </c>
      <c r="U88" s="118">
        <f>SUM($R$75:R88)</f>
        <v>100.00000000000001</v>
      </c>
      <c r="V88" s="118">
        <f>SUM($T$75:T88)</f>
        <v>2430.7467313772549</v>
      </c>
      <c r="W88" s="118">
        <f t="shared" si="65"/>
        <v>24.307467313772545</v>
      </c>
      <c r="X88" s="118">
        <f>SUM(R88:$R$88)</f>
        <v>8.1370061616527725</v>
      </c>
      <c r="Y88" s="131">
        <f>SUM(T88:$T$88)</f>
        <v>566.23835284845416</v>
      </c>
      <c r="Z88" s="115">
        <f>Y88/X88</f>
        <v>69.588045234248781</v>
      </c>
      <c r="AA88" s="115">
        <f t="shared" si="67"/>
        <v>95.931496919173625</v>
      </c>
      <c r="AB88" s="136"/>
    </row>
    <row r="89" spans="2:28" x14ac:dyDescent="0.25">
      <c r="B89" s="292" t="s">
        <v>82</v>
      </c>
      <c r="C89" s="293"/>
      <c r="D89" s="293"/>
      <c r="E89" s="73"/>
      <c r="F89" s="74"/>
      <c r="G89" s="75">
        <f>SUM(G75:G88)</f>
        <v>1103.5999999999999</v>
      </c>
      <c r="H89" s="76">
        <f>SUM(H75:H88)</f>
        <v>100.00000000000001</v>
      </c>
      <c r="I89" s="77">
        <f>SUMPRODUCT($H$75:$H$88,I75:I88)/$H$89</f>
        <v>24.069776187024281</v>
      </c>
      <c r="J89" s="77">
        <f>SUMPRODUCT($H$75:$H$88,J75:J88)/$H$89</f>
        <v>0.94028633562885089</v>
      </c>
      <c r="K89" s="77">
        <f>SUMPRODUCT($H$75:$H$88,K75:K88)/$H$89</f>
        <v>23.888142442914102</v>
      </c>
      <c r="L89" s="77">
        <f>SUMPRODUCT($H$75:$H$88,L75:L88)/$H$89</f>
        <v>0.6410846321130842</v>
      </c>
      <c r="M89" s="106">
        <f>SUMPRODUCT($H$75:$H$88,M75:M88)/$H$89</f>
        <v>4.2468285610728529</v>
      </c>
      <c r="N89" s="124"/>
      <c r="O89" s="124"/>
    </row>
    <row r="91" spans="2:28" x14ac:dyDescent="0.25">
      <c r="D91" s="112"/>
    </row>
    <row r="92" spans="2:28" x14ac:dyDescent="0.25">
      <c r="D92" s="112"/>
      <c r="G92" s="112"/>
    </row>
  </sheetData>
  <mergeCells count="24">
    <mergeCell ref="AK26:AU26"/>
    <mergeCell ref="AK58:AU58"/>
    <mergeCell ref="AL7:AN7"/>
    <mergeCell ref="AO7:AQ7"/>
    <mergeCell ref="AR7:AT7"/>
    <mergeCell ref="AK10:AU10"/>
    <mergeCell ref="AK42:AU42"/>
    <mergeCell ref="Q26:AA26"/>
    <mergeCell ref="Q42:AA42"/>
    <mergeCell ref="Q58:AA58"/>
    <mergeCell ref="Q74:AA74"/>
    <mergeCell ref="R7:T7"/>
    <mergeCell ref="Q10:AA10"/>
    <mergeCell ref="U7:W7"/>
    <mergeCell ref="X7:Z7"/>
    <mergeCell ref="B57:D57"/>
    <mergeCell ref="B73:D73"/>
    <mergeCell ref="B89:D89"/>
    <mergeCell ref="G7:M7"/>
    <mergeCell ref="B8:C8"/>
    <mergeCell ref="E8:F8"/>
    <mergeCell ref="G8:H8"/>
    <mergeCell ref="B25:D25"/>
    <mergeCell ref="B41:D41"/>
  </mergeCells>
  <pageMargins left="0.7" right="0.7" top="0.75" bottom="0.75" header="0.3" footer="0.3"/>
  <pageSetup paperSize="9" scale="95" orientation="portrait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7"/>
  <sheetViews>
    <sheetView showGridLines="0" view="pageBreakPreview" topLeftCell="D1" zoomScale="90" zoomScaleNormal="100" zoomScaleSheetLayoutView="90" workbookViewId="0">
      <selection activeCell="F11" sqref="F11"/>
    </sheetView>
  </sheetViews>
  <sheetFormatPr defaultRowHeight="15" x14ac:dyDescent="0.25"/>
  <cols>
    <col min="1" max="1" width="5.7109375" customWidth="1"/>
    <col min="5" max="5" width="10.42578125" bestFit="1" customWidth="1"/>
    <col min="8" max="8" width="10.140625" bestFit="1" customWidth="1"/>
    <col min="13" max="13" width="10.140625" bestFit="1" customWidth="1"/>
  </cols>
  <sheetData>
    <row r="1" spans="2:14" x14ac:dyDescent="0.25">
      <c r="B1" s="12" t="s">
        <v>7</v>
      </c>
      <c r="C1" s="12"/>
      <c r="D1" s="307" t="str">
        <f>'[1]Raw Coal analysis'!C1</f>
        <v>PR8_B35_4AL_01-08</v>
      </c>
      <c r="E1" s="307"/>
    </row>
    <row r="2" spans="2:14" x14ac:dyDescent="0.25">
      <c r="B2" s="12" t="s">
        <v>8</v>
      </c>
      <c r="C2" s="12"/>
      <c r="D2" s="78" t="s">
        <v>91</v>
      </c>
    </row>
    <row r="3" spans="2:14" x14ac:dyDescent="0.25">
      <c r="B3" s="12" t="s">
        <v>9</v>
      </c>
      <c r="C3" s="12"/>
    </row>
    <row r="4" spans="2:14" x14ac:dyDescent="0.25">
      <c r="B4" s="12" t="s">
        <v>10</v>
      </c>
      <c r="C4" s="12"/>
    </row>
    <row r="5" spans="2:14" x14ac:dyDescent="0.25">
      <c r="B5" s="12" t="s">
        <v>11</v>
      </c>
      <c r="C5" s="12"/>
    </row>
    <row r="7" spans="2:14" x14ac:dyDescent="0.25">
      <c r="B7" s="311" t="s">
        <v>66</v>
      </c>
      <c r="C7" s="312"/>
      <c r="D7" s="308" t="s">
        <v>67</v>
      </c>
      <c r="E7" s="304" t="s">
        <v>127</v>
      </c>
      <c r="F7" s="305"/>
      <c r="G7" s="305"/>
      <c r="H7" s="305"/>
      <c r="I7" s="305"/>
      <c r="J7" s="305"/>
      <c r="K7" s="306"/>
      <c r="L7" s="304" t="s">
        <v>154</v>
      </c>
      <c r="M7" s="305"/>
      <c r="N7" s="306"/>
    </row>
    <row r="8" spans="2:14" x14ac:dyDescent="0.25">
      <c r="B8" s="313"/>
      <c r="C8" s="314"/>
      <c r="D8" s="309"/>
      <c r="E8" s="299" t="s">
        <v>69</v>
      </c>
      <c r="F8" s="300"/>
      <c r="G8" s="63" t="s">
        <v>70</v>
      </c>
      <c r="H8" s="63" t="s">
        <v>155</v>
      </c>
      <c r="I8" s="63" t="s">
        <v>71</v>
      </c>
      <c r="J8" s="63" t="s">
        <v>72</v>
      </c>
      <c r="K8" s="63" t="s">
        <v>73</v>
      </c>
      <c r="L8" s="79" t="s">
        <v>126</v>
      </c>
      <c r="M8" s="63" t="s">
        <v>155</v>
      </c>
      <c r="N8" s="63" t="s">
        <v>70</v>
      </c>
    </row>
    <row r="9" spans="2:14" x14ac:dyDescent="0.25">
      <c r="B9" s="297"/>
      <c r="C9" s="298"/>
      <c r="D9" s="310"/>
      <c r="E9" s="64" t="s">
        <v>76</v>
      </c>
      <c r="F9" s="64" t="s">
        <v>77</v>
      </c>
      <c r="G9" s="64" t="s">
        <v>77</v>
      </c>
      <c r="H9" s="64" t="s">
        <v>77</v>
      </c>
      <c r="I9" s="64" t="s">
        <v>77</v>
      </c>
      <c r="J9" s="64" t="s">
        <v>77</v>
      </c>
      <c r="K9" s="64"/>
      <c r="L9" s="64" t="s">
        <v>77</v>
      </c>
      <c r="M9" s="64" t="s">
        <v>77</v>
      </c>
      <c r="N9" s="64" t="s">
        <v>77</v>
      </c>
    </row>
    <row r="10" spans="2:14" x14ac:dyDescent="0.25">
      <c r="B10" s="65" t="s">
        <v>92</v>
      </c>
      <c r="C10" s="66" t="s">
        <v>93</v>
      </c>
      <c r="D10" s="153">
        <f>Pretreatment!R48+Pretreatment!R49+Pretreatment!R50+Pretreatment!R51</f>
        <v>9.6234309623430949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 spans="2:14" x14ac:dyDescent="0.25">
      <c r="B11" s="68"/>
      <c r="C11" s="69"/>
      <c r="D11" s="70" t="s">
        <v>94</v>
      </c>
      <c r="E11" s="71">
        <v>145.6</v>
      </c>
      <c r="F11" s="72">
        <f t="shared" ref="F11:F16" si="0">E11/$E$17*100</f>
        <v>41.68336673346694</v>
      </c>
      <c r="G11" s="72">
        <v>11.8</v>
      </c>
      <c r="H11" s="72">
        <f t="shared" ref="H11:H16" si="1">F11*G11</f>
        <v>491.86372745490991</v>
      </c>
      <c r="I11" s="72">
        <v>0.9</v>
      </c>
      <c r="J11" s="72">
        <v>25.84</v>
      </c>
      <c r="K11" s="72">
        <v>7</v>
      </c>
      <c r="L11" s="154">
        <f>SUM($F$11:F11)</f>
        <v>41.68336673346694</v>
      </c>
      <c r="M11" s="154">
        <f>SUM($H$11:H11)</f>
        <v>491.86372745490991</v>
      </c>
      <c r="N11" s="154">
        <f t="shared" ref="N11:N16" si="2">M11/L11</f>
        <v>11.8</v>
      </c>
    </row>
    <row r="12" spans="2:14" x14ac:dyDescent="0.25">
      <c r="B12" s="68"/>
      <c r="C12" s="69"/>
      <c r="D12" s="70" t="s">
        <v>95</v>
      </c>
      <c r="E12" s="71">
        <v>90.8</v>
      </c>
      <c r="F12" s="72">
        <f t="shared" si="0"/>
        <v>25.994846836530204</v>
      </c>
      <c r="G12" s="72">
        <v>13.21</v>
      </c>
      <c r="H12" s="72">
        <f t="shared" si="1"/>
        <v>343.39192671056401</v>
      </c>
      <c r="I12" s="72">
        <v>0.85</v>
      </c>
      <c r="J12" s="72">
        <v>25.18</v>
      </c>
      <c r="K12" s="72">
        <v>7</v>
      </c>
      <c r="L12" s="154">
        <f>SUM($F$11:F12)</f>
        <v>67.678213569997141</v>
      </c>
      <c r="M12" s="154">
        <f>SUM($H$11:H12)</f>
        <v>835.25565416547397</v>
      </c>
      <c r="N12" s="154">
        <f t="shared" si="2"/>
        <v>12.341573604060915</v>
      </c>
    </row>
    <row r="13" spans="2:14" x14ac:dyDescent="0.25">
      <c r="B13" s="68"/>
      <c r="C13" s="69"/>
      <c r="D13" s="70" t="s">
        <v>96</v>
      </c>
      <c r="E13" s="71">
        <v>65.2</v>
      </c>
      <c r="F13" s="72">
        <f t="shared" si="0"/>
        <v>18.665903235041515</v>
      </c>
      <c r="G13" s="72">
        <v>14.91</v>
      </c>
      <c r="H13" s="72">
        <f t="shared" si="1"/>
        <v>278.30861723446901</v>
      </c>
      <c r="I13" s="72">
        <v>0.86</v>
      </c>
      <c r="J13" s="72">
        <v>25.99</v>
      </c>
      <c r="K13" s="72">
        <v>7</v>
      </c>
      <c r="L13" s="154">
        <f>SUM($F$11:F13)</f>
        <v>86.344116805038652</v>
      </c>
      <c r="M13" s="154">
        <f>SUM($H$11:H13)</f>
        <v>1113.564271399943</v>
      </c>
      <c r="N13" s="154">
        <f t="shared" si="2"/>
        <v>12.896816976127322</v>
      </c>
    </row>
    <row r="14" spans="2:14" x14ac:dyDescent="0.25">
      <c r="B14" s="68"/>
      <c r="C14" s="69"/>
      <c r="D14" s="70" t="s">
        <v>97</v>
      </c>
      <c r="E14" s="71">
        <v>3.4</v>
      </c>
      <c r="F14" s="72">
        <f t="shared" si="0"/>
        <v>0.97337532207271704</v>
      </c>
      <c r="G14" s="72">
        <v>32.46</v>
      </c>
      <c r="H14" s="72">
        <f t="shared" si="1"/>
        <v>31.595762954480396</v>
      </c>
      <c r="I14" s="72">
        <v>0.93</v>
      </c>
      <c r="J14" s="72">
        <v>23</v>
      </c>
      <c r="K14" s="72">
        <v>0</v>
      </c>
      <c r="L14" s="154">
        <f>SUM($F$11:F14)</f>
        <v>87.317492127111365</v>
      </c>
      <c r="M14" s="154">
        <f>SUM($H$11:H14)</f>
        <v>1145.1600343544235</v>
      </c>
      <c r="N14" s="154">
        <f t="shared" si="2"/>
        <v>13.114898360655742</v>
      </c>
    </row>
    <row r="15" spans="2:14" x14ac:dyDescent="0.25">
      <c r="B15" s="68"/>
      <c r="C15" s="69"/>
      <c r="D15" s="70" t="s">
        <v>98</v>
      </c>
      <c r="E15" s="71">
        <v>40</v>
      </c>
      <c r="F15" s="72">
        <f t="shared" si="0"/>
        <v>11.451474377326083</v>
      </c>
      <c r="G15" s="72">
        <v>62.93</v>
      </c>
      <c r="H15" s="72">
        <f t="shared" si="1"/>
        <v>720.64128256513038</v>
      </c>
      <c r="I15" s="72">
        <v>1.02</v>
      </c>
      <c r="J15" s="72">
        <v>21.75</v>
      </c>
      <c r="K15" s="72">
        <v>0</v>
      </c>
      <c r="L15" s="154">
        <f>SUM($F$11:F15)</f>
        <v>98.768966504437444</v>
      </c>
      <c r="M15" s="154">
        <f>SUM($H$11:H15)</f>
        <v>1865.8013169195538</v>
      </c>
      <c r="N15" s="154">
        <f t="shared" si="2"/>
        <v>18.890562318840583</v>
      </c>
    </row>
    <row r="16" spans="2:14" x14ac:dyDescent="0.25">
      <c r="B16" s="68"/>
      <c r="C16" s="69"/>
      <c r="D16" s="70" t="s">
        <v>99</v>
      </c>
      <c r="E16" s="71">
        <v>4.3</v>
      </c>
      <c r="F16" s="72">
        <f t="shared" si="0"/>
        <v>1.2310334955625537</v>
      </c>
      <c r="G16" s="72">
        <v>74.650000000000006</v>
      </c>
      <c r="H16" s="72">
        <f t="shared" si="1"/>
        <v>91.896650443744647</v>
      </c>
      <c r="I16" s="72">
        <v>1.01</v>
      </c>
      <c r="J16" s="72">
        <v>20.75</v>
      </c>
      <c r="K16" s="72">
        <v>0</v>
      </c>
      <c r="L16" s="154">
        <f>SUM($F$11:F16)</f>
        <v>100</v>
      </c>
      <c r="M16" s="154">
        <f>SUM($H$11:H16)</f>
        <v>1957.6979673632984</v>
      </c>
      <c r="N16" s="154">
        <f t="shared" si="2"/>
        <v>19.576979673632984</v>
      </c>
    </row>
    <row r="17" spans="2:14" x14ac:dyDescent="0.25">
      <c r="B17" s="292" t="s">
        <v>82</v>
      </c>
      <c r="C17" s="293"/>
      <c r="D17" s="293"/>
      <c r="E17" s="80">
        <f>SUM(E11:E16)</f>
        <v>349.29999999999995</v>
      </c>
      <c r="F17" s="75">
        <f>SUM(F11:F16)</f>
        <v>100</v>
      </c>
      <c r="G17" s="76"/>
      <c r="H17" s="76"/>
      <c r="I17" s="77"/>
      <c r="J17" s="76"/>
      <c r="K17" s="76"/>
      <c r="L17" s="76"/>
      <c r="M17" s="76"/>
      <c r="N17" s="155"/>
    </row>
  </sheetData>
  <mergeCells count="7">
    <mergeCell ref="D1:E1"/>
    <mergeCell ref="L7:N7"/>
    <mergeCell ref="E8:F8"/>
    <mergeCell ref="B17:D17"/>
    <mergeCell ref="E7:K7"/>
    <mergeCell ref="D7:D9"/>
    <mergeCell ref="B7:C9"/>
  </mergeCells>
  <pageMargins left="0.7" right="0.7" top="0.75" bottom="0.75" header="0.3" footer="0.3"/>
  <pageSetup paperSize="9" scale="95" orientation="portrait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showGridLines="0" view="pageBreakPreview" topLeftCell="A4" zoomScale="110" zoomScaleNormal="100" zoomScaleSheetLayoutView="110" workbookViewId="0">
      <selection activeCell="C19" sqref="C19"/>
    </sheetView>
  </sheetViews>
  <sheetFormatPr defaultRowHeight="15" x14ac:dyDescent="0.25"/>
  <cols>
    <col min="1" max="1" width="5.28515625" customWidth="1"/>
    <col min="2" max="2" width="24.85546875" customWidth="1"/>
    <col min="3" max="3" width="32.85546875" customWidth="1"/>
    <col min="4" max="4" width="15.5703125" customWidth="1"/>
    <col min="6" max="7" width="10.7109375" bestFit="1" customWidth="1"/>
  </cols>
  <sheetData>
    <row r="1" spans="2:10" x14ac:dyDescent="0.25">
      <c r="B1" s="12" t="s">
        <v>7</v>
      </c>
    </row>
    <row r="2" spans="2:10" x14ac:dyDescent="0.25">
      <c r="B2" s="12" t="s">
        <v>8</v>
      </c>
    </row>
    <row r="3" spans="2:10" x14ac:dyDescent="0.25">
      <c r="B3" s="12" t="s">
        <v>9</v>
      </c>
    </row>
    <row r="4" spans="2:10" x14ac:dyDescent="0.25">
      <c r="B4" s="12" t="s">
        <v>10</v>
      </c>
    </row>
    <row r="5" spans="2:10" x14ac:dyDescent="0.25">
      <c r="B5" s="12" t="s">
        <v>11</v>
      </c>
    </row>
    <row r="8" spans="2:10" ht="28.5" x14ac:dyDescent="0.25">
      <c r="B8" s="81" t="s">
        <v>12</v>
      </c>
      <c r="C8" s="82" t="s">
        <v>100</v>
      </c>
      <c r="D8" s="15"/>
      <c r="E8" s="15"/>
      <c r="F8" s="15"/>
      <c r="G8" s="15"/>
      <c r="H8" s="15"/>
      <c r="I8" s="15"/>
      <c r="J8" s="15"/>
    </row>
    <row r="9" spans="2:10" x14ac:dyDescent="0.25">
      <c r="B9" s="81" t="s">
        <v>13</v>
      </c>
      <c r="C9" s="16"/>
      <c r="E9" s="17"/>
      <c r="F9" s="17"/>
    </row>
    <row r="10" spans="2:10" x14ac:dyDescent="0.25">
      <c r="B10" s="81" t="s">
        <v>14</v>
      </c>
      <c r="C10" s="16"/>
    </row>
    <row r="11" spans="2:10" x14ac:dyDescent="0.25">
      <c r="B11" s="81" t="s">
        <v>15</v>
      </c>
      <c r="C11" s="18" t="s">
        <v>16</v>
      </c>
    </row>
    <row r="12" spans="2:10" x14ac:dyDescent="0.25">
      <c r="B12" s="81" t="s">
        <v>17</v>
      </c>
      <c r="C12" s="18" t="s">
        <v>16</v>
      </c>
    </row>
    <row r="13" spans="2:10" x14ac:dyDescent="0.25">
      <c r="B13" s="81" t="s">
        <v>18</v>
      </c>
      <c r="C13" s="16"/>
    </row>
    <row r="14" spans="2:10" x14ac:dyDescent="0.25">
      <c r="B14" s="81" t="s">
        <v>19</v>
      </c>
      <c r="C14" s="16"/>
    </row>
    <row r="15" spans="2:10" x14ac:dyDescent="0.25">
      <c r="B15" s="81" t="s">
        <v>20</v>
      </c>
      <c r="C15" s="16"/>
    </row>
    <row r="16" spans="2:10" x14ac:dyDescent="0.25">
      <c r="B16" s="81" t="s">
        <v>21</v>
      </c>
      <c r="C16" s="16"/>
    </row>
    <row r="17" spans="2:3" x14ac:dyDescent="0.25">
      <c r="B17" s="81" t="s">
        <v>22</v>
      </c>
      <c r="C17" s="16"/>
    </row>
    <row r="18" spans="2:3" x14ac:dyDescent="0.25">
      <c r="B18" s="19"/>
    </row>
    <row r="20" spans="2:3" x14ac:dyDescent="0.25">
      <c r="B20" s="20" t="s">
        <v>23</v>
      </c>
    </row>
    <row r="21" spans="2:3" ht="29.45" customHeight="1" x14ac:dyDescent="0.25">
      <c r="B21" s="83" t="s">
        <v>24</v>
      </c>
      <c r="C21" s="14"/>
    </row>
    <row r="22" spans="2:3" x14ac:dyDescent="0.25">
      <c r="B22" s="81" t="s">
        <v>25</v>
      </c>
      <c r="C22" s="16"/>
    </row>
    <row r="23" spans="2:3" x14ac:dyDescent="0.25">
      <c r="B23" s="22"/>
      <c r="C23" s="16"/>
    </row>
    <row r="24" spans="2:3" x14ac:dyDescent="0.25">
      <c r="B24" s="81" t="s">
        <v>26</v>
      </c>
      <c r="C24" s="18"/>
    </row>
    <row r="25" spans="2:3" x14ac:dyDescent="0.25">
      <c r="B25" s="81" t="s">
        <v>27</v>
      </c>
      <c r="C25" s="18"/>
    </row>
    <row r="26" spans="2:3" x14ac:dyDescent="0.25">
      <c r="B26" s="81" t="s">
        <v>28</v>
      </c>
      <c r="C26" s="16"/>
    </row>
  </sheetData>
  <pageMargins left="0.7" right="0.7" top="0.75" bottom="0.75" header="0.3" footer="0.3"/>
  <pageSetup paperSize="9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8"/>
  <sheetViews>
    <sheetView showGridLines="0" tabSelected="1" view="pageBreakPreview" zoomScale="85" zoomScaleNormal="100" zoomScaleSheetLayoutView="85" workbookViewId="0">
      <selection activeCell="G7" sqref="G7"/>
    </sheetView>
  </sheetViews>
  <sheetFormatPr defaultRowHeight="15" x14ac:dyDescent="0.25"/>
  <cols>
    <col min="1" max="1" width="25.28515625" customWidth="1"/>
    <col min="2" max="2" width="12.140625" customWidth="1"/>
  </cols>
  <sheetData>
    <row r="1" spans="1:14" ht="22.15" customHeight="1" x14ac:dyDescent="0.25">
      <c r="A1" s="202" t="s">
        <v>169</v>
      </c>
    </row>
    <row r="2" spans="1:14" ht="25.5" x14ac:dyDescent="0.25">
      <c r="A2" s="176" t="s">
        <v>158</v>
      </c>
      <c r="B2" s="180" t="s">
        <v>168</v>
      </c>
      <c r="C2" s="176" t="s">
        <v>159</v>
      </c>
      <c r="D2" s="178" t="s">
        <v>160</v>
      </c>
      <c r="E2" s="177" t="s">
        <v>161</v>
      </c>
    </row>
    <row r="3" spans="1:14" x14ac:dyDescent="0.25">
      <c r="A3" s="173" t="s">
        <v>163</v>
      </c>
      <c r="B3" s="198">
        <f>'Float sink'!AV26</f>
        <v>39.539748953974893</v>
      </c>
      <c r="C3" s="187">
        <v>2</v>
      </c>
      <c r="D3" s="193">
        <v>5</v>
      </c>
      <c r="E3" s="182">
        <v>12</v>
      </c>
    </row>
    <row r="4" spans="1:14" x14ac:dyDescent="0.25">
      <c r="A4" s="174" t="s">
        <v>164</v>
      </c>
      <c r="B4" s="199">
        <f>'Float sink'!AV42</f>
        <v>30.753138075313803</v>
      </c>
      <c r="C4" s="188">
        <v>1.47</v>
      </c>
      <c r="D4" s="194">
        <v>37</v>
      </c>
      <c r="E4" s="183">
        <v>12</v>
      </c>
    </row>
    <row r="5" spans="1:14" x14ac:dyDescent="0.25">
      <c r="A5" s="175" t="s">
        <v>165</v>
      </c>
      <c r="B5" s="200">
        <f>'Float sink'!AV58</f>
        <v>20.0836820083682</v>
      </c>
      <c r="C5" s="189">
        <v>1.8</v>
      </c>
      <c r="D5" s="195">
        <v>19</v>
      </c>
      <c r="E5" s="184">
        <v>3.8</v>
      </c>
    </row>
    <row r="6" spans="1:14" ht="18.75" x14ac:dyDescent="0.3">
      <c r="A6" s="185" t="s">
        <v>166</v>
      </c>
      <c r="B6" s="201">
        <f>'Froth Flotation'!D10</f>
        <v>9.6234309623430949</v>
      </c>
      <c r="C6" s="190"/>
      <c r="D6" s="196">
        <v>41.68</v>
      </c>
      <c r="E6" s="186">
        <v>11.8</v>
      </c>
    </row>
    <row r="7" spans="1:14" x14ac:dyDescent="0.25">
      <c r="A7" s="197" t="s">
        <v>167</v>
      </c>
      <c r="B7" s="181">
        <f>SUM(B3:B6)</f>
        <v>99.999999999999986</v>
      </c>
      <c r="C7" s="191"/>
      <c r="D7" s="179">
        <f>SUMPRODUCT(B3:B6,D3:D6)/B7</f>
        <v>21.182594142259415</v>
      </c>
      <c r="E7" s="192">
        <f>SUMPRODUCT(B3:B6,D3:D6,E3:E6)/SUMPRODUCT(B3:B6,D3:D6)</f>
        <v>10.484954885198237</v>
      </c>
    </row>
    <row r="9" spans="1:14" x14ac:dyDescent="0.25">
      <c r="A9" s="257" t="s">
        <v>170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</row>
    <row r="11" spans="1:14" ht="24" thickBot="1" x14ac:dyDescent="0.4">
      <c r="A11" s="203" t="s">
        <v>195</v>
      </c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</row>
    <row r="12" spans="1:14" ht="15.75" thickTop="1" x14ac:dyDescent="0.25">
      <c r="A12" s="205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7"/>
    </row>
    <row r="13" spans="1:14" ht="15.75" x14ac:dyDescent="0.25">
      <c r="A13" s="208" t="s">
        <v>171</v>
      </c>
      <c r="B13" s="209">
        <v>855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10"/>
    </row>
    <row r="14" spans="1:14" ht="26.25" x14ac:dyDescent="0.25">
      <c r="A14" s="211"/>
      <c r="B14" s="212" t="s">
        <v>172</v>
      </c>
      <c r="C14" s="212" t="s">
        <v>173</v>
      </c>
      <c r="D14" s="212" t="s">
        <v>174</v>
      </c>
      <c r="E14" s="212" t="s">
        <v>175</v>
      </c>
      <c r="F14" s="212" t="s">
        <v>176</v>
      </c>
      <c r="G14" s="212" t="s">
        <v>177</v>
      </c>
      <c r="H14" s="212" t="s">
        <v>178</v>
      </c>
      <c r="I14" s="212" t="s">
        <v>179</v>
      </c>
      <c r="J14" s="212" t="s">
        <v>180</v>
      </c>
      <c r="K14" s="212" t="s">
        <v>162</v>
      </c>
      <c r="L14" s="213" t="s">
        <v>181</v>
      </c>
    </row>
    <row r="15" spans="1:14" x14ac:dyDescent="0.25">
      <c r="A15" s="214" t="s">
        <v>182</v>
      </c>
      <c r="B15" s="215">
        <v>117.84756415601601</v>
      </c>
      <c r="C15" s="216">
        <v>12.426324866853838</v>
      </c>
      <c r="D15" s="217">
        <v>3</v>
      </c>
      <c r="E15" s="217">
        <v>3.6304999999999996</v>
      </c>
      <c r="F15" s="218">
        <v>121.49233418146015</v>
      </c>
      <c r="G15" s="216">
        <v>11.975187142562708</v>
      </c>
      <c r="H15" s="216">
        <v>12.345553755219287</v>
      </c>
      <c r="I15" s="216"/>
      <c r="J15" s="219">
        <v>29.470781551128677</v>
      </c>
      <c r="K15" s="220">
        <v>5.7912220031374542</v>
      </c>
      <c r="L15" s="221">
        <v>0</v>
      </c>
      <c r="M15" s="315">
        <f>B15/B13</f>
        <v>0.13783340836960936</v>
      </c>
    </row>
    <row r="16" spans="1:14" x14ac:dyDescent="0.25">
      <c r="A16" s="214" t="s">
        <v>183</v>
      </c>
      <c r="B16" s="215">
        <v>3.3911645322874082</v>
      </c>
      <c r="C16" s="216">
        <v>9.2465528306142293</v>
      </c>
      <c r="D16" s="217">
        <v>12</v>
      </c>
      <c r="E16" s="217">
        <v>12.571999999999999</v>
      </c>
      <c r="F16" s="218">
        <v>3.8535960594175092</v>
      </c>
      <c r="G16" s="216">
        <v>8.0840762087494085</v>
      </c>
      <c r="H16" s="216">
        <v>9.1864502372152366</v>
      </c>
      <c r="I16" s="216"/>
      <c r="J16" s="219">
        <v>29.6639221150525</v>
      </c>
      <c r="K16" s="220">
        <v>6.9373369207252029</v>
      </c>
      <c r="L16" s="221">
        <v>0</v>
      </c>
      <c r="M16" s="315">
        <f>B16/B13</f>
        <v>3.9662743067688981E-3</v>
      </c>
    </row>
    <row r="17" spans="1:14" x14ac:dyDescent="0.25">
      <c r="A17" s="214" t="s">
        <v>184</v>
      </c>
      <c r="B17" s="222">
        <v>55.264581889743702</v>
      </c>
      <c r="C17" s="223">
        <v>7.7825112674624295</v>
      </c>
      <c r="D17" s="224">
        <v>25</v>
      </c>
      <c r="E17" s="224">
        <v>25.487499999999997</v>
      </c>
      <c r="F17" s="225">
        <v>73.686109186324941</v>
      </c>
      <c r="G17" s="223">
        <v>5.7989437081679434</v>
      </c>
      <c r="H17" s="223">
        <v>7.7319249442239233</v>
      </c>
      <c r="I17" s="223"/>
      <c r="J17" s="226">
        <v>29.762462958740485</v>
      </c>
      <c r="K17" s="227">
        <v>7.3860112147242498</v>
      </c>
      <c r="L17" s="228">
        <v>0</v>
      </c>
      <c r="M17" s="315">
        <f>B17/B13</f>
        <v>6.4636937882741177E-2</v>
      </c>
    </row>
    <row r="18" spans="1:14" x14ac:dyDescent="0.25">
      <c r="A18" s="229" t="s">
        <v>171</v>
      </c>
      <c r="B18" s="230">
        <v>176.50331057804746</v>
      </c>
      <c r="C18" s="231">
        <v>10.91121704129225</v>
      </c>
      <c r="D18" s="231">
        <v>11.319146863987786</v>
      </c>
      <c r="E18" s="231">
        <v>11.895572409371866</v>
      </c>
      <c r="F18" s="230">
        <v>199.03203942720262</v>
      </c>
      <c r="G18" s="231">
        <v>9.6132653174016056</v>
      </c>
      <c r="H18" s="232">
        <v>10.84029413052385</v>
      </c>
      <c r="I18" s="233"/>
      <c r="J18" s="234">
        <v>29.56582012242723</v>
      </c>
      <c r="K18" s="235">
        <v>6.312583460538427</v>
      </c>
      <c r="L18" s="236">
        <v>0</v>
      </c>
    </row>
    <row r="19" spans="1:14" ht="15.75" x14ac:dyDescent="0.25">
      <c r="A19" s="237" t="s">
        <v>185</v>
      </c>
      <c r="B19" s="238">
        <v>0.20643662055911999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39"/>
    </row>
    <row r="20" spans="1:14" ht="15.75" thickBot="1" x14ac:dyDescent="0.3">
      <c r="A20" s="240"/>
      <c r="B20" s="241"/>
      <c r="C20" s="241"/>
      <c r="D20" s="241"/>
      <c r="E20" s="241"/>
      <c r="F20" s="241"/>
      <c r="G20" s="241"/>
      <c r="H20" s="241"/>
      <c r="I20" s="241"/>
      <c r="J20" s="241"/>
      <c r="K20" s="241"/>
      <c r="L20" s="242"/>
    </row>
    <row r="21" spans="1:14" ht="15.75" thickTop="1" x14ac:dyDescent="0.25">
      <c r="A21" s="243"/>
      <c r="B21" s="209"/>
      <c r="C21" s="209"/>
      <c r="D21" s="209"/>
      <c r="E21" s="209"/>
      <c r="F21" s="209"/>
      <c r="G21" s="209"/>
      <c r="H21" s="209"/>
      <c r="I21" s="209"/>
      <c r="J21" s="209"/>
      <c r="K21" s="209"/>
      <c r="L21" s="239"/>
    </row>
    <row r="22" spans="1:14" ht="15.75" x14ac:dyDescent="0.25">
      <c r="A22" s="208" t="s">
        <v>186</v>
      </c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39"/>
    </row>
    <row r="23" spans="1:14" ht="26.25" x14ac:dyDescent="0.25">
      <c r="A23" s="243"/>
      <c r="B23" s="212" t="s">
        <v>172</v>
      </c>
      <c r="C23" s="212" t="s">
        <v>173</v>
      </c>
      <c r="D23" s="212" t="s">
        <v>174</v>
      </c>
      <c r="E23" s="212" t="s">
        <v>175</v>
      </c>
      <c r="F23" s="212" t="s">
        <v>176</v>
      </c>
      <c r="G23" s="212" t="s">
        <v>177</v>
      </c>
      <c r="H23" s="212" t="s">
        <v>178</v>
      </c>
      <c r="I23" s="212" t="s">
        <v>179</v>
      </c>
      <c r="J23" s="212" t="s">
        <v>180</v>
      </c>
      <c r="K23" s="212" t="s">
        <v>162</v>
      </c>
      <c r="L23" s="213" t="s">
        <v>181</v>
      </c>
    </row>
    <row r="24" spans="1:14" x14ac:dyDescent="0.25">
      <c r="A24" s="244" t="s">
        <v>187</v>
      </c>
      <c r="B24" s="234">
        <v>249.96553384761933</v>
      </c>
      <c r="C24" s="231">
        <v>24.930803491874677</v>
      </c>
      <c r="D24" s="231">
        <v>3</v>
      </c>
      <c r="E24" s="231">
        <v>3.6304999999999996</v>
      </c>
      <c r="F24" s="230">
        <v>257.69642664703025</v>
      </c>
      <c r="G24" s="231">
        <v>24.025690671102165</v>
      </c>
      <c r="H24" s="233">
        <v>24.768753269177491</v>
      </c>
      <c r="I24" s="233"/>
      <c r="J24" s="245">
        <v>27.078310657895095</v>
      </c>
      <c r="K24" s="235">
        <v>1.8703965121556136</v>
      </c>
      <c r="L24" s="236">
        <v>0</v>
      </c>
    </row>
    <row r="25" spans="1:14" ht="15.75" x14ac:dyDescent="0.25">
      <c r="A25" s="246" t="s">
        <v>188</v>
      </c>
      <c r="B25" s="238">
        <v>0.29235734952937903</v>
      </c>
      <c r="C25" s="209"/>
      <c r="D25" s="209"/>
      <c r="E25" s="209"/>
      <c r="F25" s="209"/>
      <c r="G25" s="209"/>
      <c r="H25" s="209"/>
      <c r="I25" s="209"/>
      <c r="J25" s="209"/>
      <c r="K25" s="209"/>
      <c r="L25" s="210"/>
    </row>
    <row r="26" spans="1:14" x14ac:dyDescent="0.25">
      <c r="A26" s="243"/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10"/>
    </row>
    <row r="27" spans="1:14" x14ac:dyDescent="0.25">
      <c r="A27" s="243" t="s">
        <v>189</v>
      </c>
      <c r="B27" s="209"/>
      <c r="C27" s="209"/>
      <c r="D27" s="209">
        <v>0.65</v>
      </c>
      <c r="E27" s="209"/>
      <c r="F27" s="209"/>
      <c r="G27" s="209"/>
      <c r="H27" s="209"/>
      <c r="I27" s="209"/>
      <c r="J27" s="209"/>
      <c r="K27" s="209"/>
      <c r="L27" s="210"/>
    </row>
    <row r="28" spans="1:14" ht="15.75" thickBot="1" x14ac:dyDescent="0.3">
      <c r="A28" s="247"/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9"/>
    </row>
    <row r="29" spans="1:14" ht="15.75" thickTop="1" x14ac:dyDescent="0.25"/>
    <row r="30" spans="1:14" x14ac:dyDescent="0.25">
      <c r="A30" s="257" t="s">
        <v>190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</row>
    <row r="32" spans="1:14" x14ac:dyDescent="0.25">
      <c r="B32" s="250" t="s">
        <v>191</v>
      </c>
      <c r="C32" s="250" t="s">
        <v>192</v>
      </c>
    </row>
    <row r="33" spans="2:3" x14ac:dyDescent="0.25">
      <c r="B33" s="251">
        <v>26.22</v>
      </c>
      <c r="C33" s="252">
        <v>0.20599999999999999</v>
      </c>
    </row>
    <row r="34" spans="2:3" x14ac:dyDescent="0.25">
      <c r="B34" s="253">
        <v>17.764287124396422</v>
      </c>
      <c r="C34" s="254">
        <v>0.79049598453723624</v>
      </c>
    </row>
    <row r="35" spans="2:3" x14ac:dyDescent="0.25">
      <c r="B35" s="253">
        <v>20.18804850902977</v>
      </c>
      <c r="C35" s="254">
        <v>0.7483332870960322</v>
      </c>
    </row>
    <row r="36" spans="2:3" x14ac:dyDescent="0.25">
      <c r="B36" s="253">
        <v>22.283152542509743</v>
      </c>
      <c r="C36" s="254">
        <v>0.71150719494994807</v>
      </c>
    </row>
    <row r="37" spans="2:3" x14ac:dyDescent="0.25">
      <c r="B37" s="253">
        <v>24.126709308785525</v>
      </c>
      <c r="C37" s="254">
        <v>0.67883532870112628</v>
      </c>
    </row>
    <row r="38" spans="2:3" x14ac:dyDescent="0.25">
      <c r="B38" s="255">
        <v>25.77140416289981</v>
      </c>
      <c r="C38" s="256">
        <v>0.64949002073576223</v>
      </c>
    </row>
  </sheetData>
  <pageMargins left="0.7" right="0.7" top="0.75" bottom="0.75" header="0.3" footer="0.3"/>
  <pageSetup paperSize="9" scale="64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Instruction</vt:lpstr>
      <vt:lpstr>Inst.Eng</vt:lpstr>
      <vt:lpstr>Raw Coal analysis</vt:lpstr>
      <vt:lpstr>Pretreatment</vt:lpstr>
      <vt:lpstr>Float sink</vt:lpstr>
      <vt:lpstr>Froth Flotation</vt:lpstr>
      <vt:lpstr>Composite Product Analysis </vt:lpstr>
      <vt:lpstr>Summary </vt:lpstr>
      <vt:lpstr>'Composite Product Analysis '!Print_Area</vt:lpstr>
      <vt:lpstr>'Float sink'!Print_Area</vt:lpstr>
      <vt:lpstr>'Froth Flotation'!Print_Area</vt:lpstr>
      <vt:lpstr>Inst.Eng!Print_Area</vt:lpstr>
      <vt:lpstr>Instruction!Print_Area</vt:lpstr>
      <vt:lpstr>Pretreatment!Print_Area</vt:lpstr>
      <vt:lpstr>'Raw Coal analysis'!Print_Area</vt:lpstr>
      <vt:lpstr>'Summary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Enkhtuvshin Bandikhuu</cp:lastModifiedBy>
  <cp:lastPrinted>2019-09-21T10:09:40Z</cp:lastPrinted>
  <dcterms:created xsi:type="dcterms:W3CDTF">2015-06-05T18:17:20Z</dcterms:created>
  <dcterms:modified xsi:type="dcterms:W3CDTF">2019-09-21T10:21:07Z</dcterms:modified>
</cp:coreProperties>
</file>