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TECHNICAL SERVICES\10.0 PROCESS\18. Process_Equipment Inspection\01. PROCESS WORK ORDER INSPECTION FILE\33.014.04 DMC\"/>
    </mc:Choice>
  </mc:AlternateContent>
  <xr:revisionPtr revIDLastSave="0" documentId="13_ncr:1_{1BC74FDA-3F72-4ECA-8BDB-4F09943778BE}" xr6:coauthVersionLast="47" xr6:coauthVersionMax="47" xr10:uidLastSave="{00000000-0000-0000-0000-000000000000}"/>
  <bookViews>
    <workbookView xWindow="27790" yWindow="-16310" windowWidth="29020" windowHeight="15700" xr2:uid="{00000000-000D-0000-FFFF-FFFF00000000}"/>
  </bookViews>
  <sheets>
    <sheet name="Secondary DMC 402,422,442" sheetId="1" r:id="rId1"/>
    <sheet name="Шүүсэн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3" i="1"/>
  <c r="D28" i="1"/>
  <c r="D29" i="1"/>
  <c r="D30" i="1"/>
  <c r="D31" i="1"/>
  <c r="D32" i="1"/>
  <c r="D27" i="1"/>
  <c r="X1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Turbileg Bud</author>
  </authors>
  <commentList>
    <comment ref="X6" authorId="0" shapeId="0" xr:uid="{37685629-FBB3-4A9B-B28D-C4F29369CA41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Zasvarlasan dun angi</t>
        </r>
      </text>
    </comment>
    <comment ref="B14" authorId="0" shapeId="0" xr:uid="{35C3C723-D05A-4E57-9D12-400896E29B7D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Huuchin cyclone solij tavisan 
</t>
        </r>
      </text>
    </comment>
    <comment ref="B15" authorId="0" shapeId="0" xr:uid="{123C4B3A-B8C5-441F-9D6F-88E1A488E1FA}">
      <text>
        <r>
          <rPr>
            <b/>
            <sz val="9"/>
            <color indexed="81"/>
            <rFont val="Tahoma"/>
            <family val="2"/>
          </rPr>
          <t>Turbileg Bud:</t>
        </r>
        <r>
          <rPr>
            <sz val="9"/>
            <color indexed="81"/>
            <rFont val="Tahoma"/>
            <family val="2"/>
          </rPr>
          <t xml:space="preserve">
Nihard cyclone new hiiv
</t>
        </r>
      </text>
    </comment>
  </commentList>
</comments>
</file>

<file path=xl/sharedStrings.xml><?xml version="1.0" encoding="utf-8"?>
<sst xmlns="http://schemas.openxmlformats.org/spreadsheetml/2006/main" count="167" uniqueCount="103">
  <si>
    <t>CY 402</t>
  </si>
  <si>
    <t>CY 422</t>
  </si>
  <si>
    <t>№</t>
  </si>
  <si>
    <t>Date</t>
  </si>
  <si>
    <t>Module 1 Totalizer</t>
  </si>
  <si>
    <t>Work order number</t>
  </si>
  <si>
    <t>Comment</t>
  </si>
  <si>
    <t>Module 2 totalizer</t>
  </si>
  <si>
    <t>Feed on Cyclone</t>
  </si>
  <si>
    <t>Inspection, mm</t>
  </si>
  <si>
    <t>Inlet</t>
  </si>
  <si>
    <t>Vortex</t>
  </si>
  <si>
    <t>Shroud</t>
  </si>
  <si>
    <t>Nozzle</t>
  </si>
  <si>
    <t>Feed on</t>
  </si>
  <si>
    <t>Changed nozzle</t>
  </si>
  <si>
    <t>Changed the worn shroud by repaired one in a workshop</t>
  </si>
  <si>
    <t>Changed shroud</t>
  </si>
  <si>
    <t>Retiled shroud</t>
  </si>
  <si>
    <t>Changed nozzle, Retiled shroud</t>
  </si>
  <si>
    <t>Module 3 totalizer</t>
  </si>
  <si>
    <t>CY 442</t>
  </si>
  <si>
    <t>Changed shroud and nozzle</t>
  </si>
  <si>
    <t>430/435</t>
  </si>
  <si>
    <t>Changed Vortex finder, Сэргээн засварласан, их бие шинэ shroud тавив</t>
  </si>
  <si>
    <t>To replaced middle cone</t>
  </si>
  <si>
    <t>430/430</t>
  </si>
  <si>
    <t>435/436</t>
  </si>
  <si>
    <t>530/531</t>
  </si>
  <si>
    <t xml:space="preserve">Changed shroud. Солиход шинэ шроудыг дам нуруу урт байна. 1, 2 см орчим тайрч хэвийн болгож угсрав. </t>
  </si>
  <si>
    <t>To replace and spigot, shroud and rubber of cyclone</t>
  </si>
  <si>
    <t>Changed middle cone</t>
  </si>
  <si>
    <t>CL423 tile was dropped.</t>
  </si>
  <si>
    <t>Changed shroud that fixed</t>
  </si>
  <si>
    <t>Changed cyclone body</t>
  </si>
  <si>
    <t xml:space="preserve">Хошуу сэтэрсэн, урсгал баригч  элэгдэлтэй </t>
  </si>
  <si>
    <t xml:space="preserve">Changed shroud </t>
  </si>
  <si>
    <t>Spigot, shroud сэргээн засварласан</t>
  </si>
  <si>
    <t>535/530</t>
  </si>
  <si>
    <t>Хошуу сэтэрсэн, урсгал баригч  элэгдэлтэй. Хошууг солихоор болсон.CL423-н таазанд плита унасан байсан цавуу түрхсэн.</t>
  </si>
  <si>
    <t>690/700</t>
  </si>
  <si>
    <t>Хошуу сэргээн засварласныг тависан.</t>
  </si>
  <si>
    <t>430/433</t>
  </si>
  <si>
    <t>680/684</t>
  </si>
  <si>
    <t xml:space="preserve">shroud элэгдэж дотор плита унаж төмөр цоорон гадна плита ил гарсан байна. </t>
  </si>
  <si>
    <t>547/543</t>
  </si>
  <si>
    <t>737/731</t>
  </si>
  <si>
    <t>530/528</t>
  </si>
  <si>
    <t xml:space="preserve">Shroud цоорсон байна. CL443-н үзлэгийн цонхны хэсэг болон таазанд плита унасан элэгдэлтэй байна. </t>
  </si>
  <si>
    <t>Shroud плита унасан. CL443-ын тааз цоорсон</t>
  </si>
  <si>
    <t>/530</t>
  </si>
  <si>
    <t>543/530</t>
  </si>
  <si>
    <t>460/430</t>
  </si>
  <si>
    <t>Элэгдсэн</t>
  </si>
  <si>
    <t xml:space="preserve">Шинэ NI-Hard циклоноор солисон. </t>
  </si>
  <si>
    <t>450/445</t>
  </si>
  <si>
    <t>580/530</t>
  </si>
  <si>
    <t>460/445</t>
  </si>
  <si>
    <t>820/720</t>
  </si>
  <si>
    <t>542/545</t>
  </si>
  <si>
    <t>531/532</t>
  </si>
  <si>
    <t>445/447</t>
  </si>
  <si>
    <t>Change the spigot</t>
  </si>
  <si>
    <t>Middle part</t>
  </si>
  <si>
    <t>Spigot</t>
  </si>
  <si>
    <t xml:space="preserve"> </t>
  </si>
  <si>
    <t>Засварласан дунд ангиар солисон</t>
  </si>
  <si>
    <t>Эх бие цоорсоныг солисон</t>
  </si>
  <si>
    <t>цоорсон хэсгийг шинээр солисон</t>
  </si>
  <si>
    <t>шинэ</t>
  </si>
  <si>
    <t>Сэргээн засварласан дунд ангиар солисон</t>
  </si>
  <si>
    <t>Хуучин дунд ангийг сольж тависан</t>
  </si>
  <si>
    <t>шинээр солисон</t>
  </si>
  <si>
    <t>1</t>
  </si>
  <si>
    <t>Сэргээн засварласан дунд анги</t>
  </si>
  <si>
    <t>Сэргээн засварласан циклон</t>
  </si>
  <si>
    <t>705/715</t>
  </si>
  <si>
    <t>530/535</t>
  </si>
  <si>
    <t>445/450</t>
  </si>
  <si>
    <t>ИХ бие пилта унасан. CL404 доод хэсэгтээ цоорсон</t>
  </si>
  <si>
    <t>CY402 shroud цоорсон. 
Сольсон</t>
  </si>
  <si>
    <t>Хэвийн.</t>
  </si>
  <si>
    <t>Сэргээн засварласан циклоноор сольсон.</t>
  </si>
  <si>
    <t>435/438</t>
  </si>
  <si>
    <t>Дотор талд плита унасан.</t>
  </si>
  <si>
    <t>CY402 сэргээн засварласан циклоноор солих</t>
  </si>
  <si>
    <t xml:space="preserve">CY402 сэргээн засварласан циклоноор солисон. /Lower cone нь анхны ER-ийн гар хийц/ Плита доторлогоотой. </t>
  </si>
  <si>
    <t xml:space="preserve">changed to Low cone </t>
  </si>
  <si>
    <t>low болон mid cone сэргээн засварласнаар сольсон</t>
  </si>
  <si>
    <t>Шинэ Ni-Hard cyclone -оор сольсон. MincoTech</t>
  </si>
  <si>
    <t>Плита доторлогоотой /MincoTech/ шинээр сольсон</t>
  </si>
  <si>
    <t>Шинэ плита доторлогоотой cyclone -оор сольсон. MincoTech</t>
  </si>
  <si>
    <t>Shroud элэгдсэн, материалтай байсан тул хэмжилт хийгдээгүй</t>
  </si>
  <si>
    <t>Материалтай байсан тул хэмжилт хийгдээгүй</t>
  </si>
  <si>
    <t>Shroud элэгдсэнийг солих. Cyclone-ийн 1ш плита унасныг солих. Дотроо материалтай зогссон тул хэмжилт хийгдээгүй.</t>
  </si>
  <si>
    <t>CY442 цоорсон, хошуу ихээр элэгдэж сэтэрсэн тул Ni-hard cyclone тавьсан</t>
  </si>
  <si>
    <t xml:space="preserve">CY402 шинээр сольж суурьлуулсан 
</t>
  </si>
  <si>
    <t>Циклон сольсон. (shroud, spigot элэгдэж цоорсон)</t>
  </si>
  <si>
    <t>CY442 shroud цоорсон тул сольсон.</t>
  </si>
  <si>
    <t>Ni hard cyclone-оор сольсон. Өмнөх нь low cone хэсэгт цоорсон. Урт-1450</t>
  </si>
  <si>
    <t xml:space="preserve">CY402 шинээр сольж суурьлуулсан (Low cone хэсэгт цоорсон). Хуучин Ni-hard циклоныг задгай агуулахаас авчран, солигдсон циклоны хошууг тавьж хийсэн.
</t>
  </si>
  <si>
    <t xml:space="preserve">CY402 хуучин циклоноор сольсон.
</t>
  </si>
  <si>
    <t>Inlet сэргээн засварласан тавьсан.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</si>
</sst>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sz val="11"/>
      <name val="Times New Roman"/>
      <family val="1"/>
    </font>
    <font>
      <sz val="10"/>
      <name val="Arial"/>
      <family val="2"/>
    </font>
    <font>
      <b/>
      <u/>
      <sz val="14"/>
      <color indexed="18"/>
      <name val="Times New Roman"/>
      <family val="1"/>
    </font>
    <font>
      <sz val="12"/>
      <color theme="1"/>
      <name val="Times New Roman"/>
      <family val="2"/>
    </font>
    <font>
      <sz val="9"/>
      <color rgb="FF3C3C3C"/>
      <name val="Tahoma"/>
      <family val="2"/>
    </font>
    <font>
      <sz val="11"/>
      <color rgb="FF3C3C3C"/>
      <name val="Tahoma"/>
      <family val="2"/>
    </font>
    <font>
      <sz val="12"/>
      <color rgb="FF3C3C3C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mbria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2" fillId="0" borderId="0"/>
    <xf numFmtId="0" fontId="12" fillId="0" borderId="0"/>
    <xf numFmtId="0" fontId="9" fillId="0" borderId="0"/>
    <xf numFmtId="0" fontId="1" fillId="0" borderId="0"/>
    <xf numFmtId="9" fontId="10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7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/>
    <xf numFmtId="0" fontId="6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164" fontId="2" fillId="0" borderId="1" xfId="0" applyNumberFormat="1" applyFont="1" applyBorder="1"/>
    <xf numFmtId="14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3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1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3" fillId="0" borderId="5" xfId="0" applyFont="1" applyBorder="1" applyAlignment="1">
      <alignment horizontal="center" vertical="center"/>
    </xf>
    <xf numFmtId="14" fontId="0" fillId="0" borderId="1" xfId="0" applyNumberFormat="1" applyBorder="1"/>
    <xf numFmtId="0" fontId="0" fillId="0" borderId="1" xfId="0" applyBorder="1"/>
    <xf numFmtId="0" fontId="15" fillId="0" borderId="1" xfId="0" applyFont="1" applyBorder="1"/>
    <xf numFmtId="164" fontId="3" fillId="0" borderId="1" xfId="0" applyNumberFormat="1" applyFont="1" applyBorder="1"/>
    <xf numFmtId="41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18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65" fontId="2" fillId="0" borderId="0" xfId="11" applyNumberFormat="1" applyFont="1"/>
    <xf numFmtId="165" fontId="4" fillId="0" borderId="1" xfId="11" applyNumberFormat="1" applyFont="1" applyBorder="1"/>
    <xf numFmtId="165" fontId="3" fillId="0" borderId="1" xfId="11" applyNumberFormat="1" applyFont="1" applyBorder="1" applyAlignment="1">
      <alignment horizontal="center" vertical="center"/>
    </xf>
    <xf numFmtId="165" fontId="2" fillId="0" borderId="1" xfId="11" applyNumberFormat="1" applyFont="1" applyBorder="1"/>
    <xf numFmtId="165" fontId="0" fillId="0" borderId="1" xfId="11" applyNumberFormat="1" applyFont="1" applyBorder="1"/>
    <xf numFmtId="165" fontId="0" fillId="0" borderId="0" xfId="11" applyNumberFormat="1" applyFont="1"/>
    <xf numFmtId="0" fontId="4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5" fontId="5" fillId="0" borderId="1" xfId="11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2">
    <cellStyle name="Comma" xfId="11" builtinId="3"/>
    <cellStyle name="Comma 2" xfId="2" xr:uid="{00000000-0005-0000-0000-000000000000}"/>
    <cellStyle name="Comma 3" xfId="1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  <cellStyle name="Normal 2 2 2" xfId="5" xr:uid="{00000000-0005-0000-0000-000005000000}"/>
    <cellStyle name="Normal 2 2 3" xfId="6" xr:uid="{00000000-0005-0000-0000-000006000000}"/>
    <cellStyle name="Normal 3" xfId="7" xr:uid="{00000000-0005-0000-0000-000007000000}"/>
    <cellStyle name="Percent 2" xfId="8" xr:uid="{00000000-0005-0000-0000-000008000000}"/>
    <cellStyle name="Percent 2 2" xfId="9" xr:uid="{00000000-0005-0000-0000-000009000000}"/>
    <cellStyle name="Title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"/>
  <sheetViews>
    <sheetView tabSelected="1" zoomScale="85" zoomScaleNormal="85" workbookViewId="0">
      <pane xSplit="1" ySplit="4" topLeftCell="B23" activePane="bottomRight" state="frozen"/>
      <selection pane="topRight" activeCell="B1" sqref="B1"/>
      <selection pane="bottomLeft" activeCell="A5" sqref="A5"/>
      <selection pane="bottomRight" activeCell="R32" sqref="R32"/>
    </sheetView>
  </sheetViews>
  <sheetFormatPr defaultRowHeight="14.5" x14ac:dyDescent="0.35"/>
  <cols>
    <col min="1" max="1" width="3.90625" customWidth="1"/>
    <col min="2" max="2" width="11.54296875" bestFit="1" customWidth="1"/>
    <col min="3" max="3" width="12.36328125" customWidth="1"/>
    <col min="4" max="4" width="12.81640625" bestFit="1" customWidth="1"/>
    <col min="7" max="8" width="10" bestFit="1" customWidth="1"/>
    <col min="9" max="9" width="16.36328125" customWidth="1"/>
    <col min="10" max="10" width="34.54296875" bestFit="1" customWidth="1"/>
    <col min="11" max="11" width="3.90625" customWidth="1"/>
    <col min="12" max="12" width="11.6328125" bestFit="1" customWidth="1"/>
    <col min="13" max="13" width="15.6328125" customWidth="1"/>
    <col min="17" max="18" width="10" bestFit="1" customWidth="1"/>
    <col min="19" max="19" width="16.36328125" customWidth="1"/>
    <col min="20" max="20" width="24.6328125" customWidth="1"/>
    <col min="21" max="21" width="3.90625" customWidth="1"/>
    <col min="22" max="22" width="11.453125" bestFit="1" customWidth="1"/>
    <col min="23" max="23" width="22.08984375" bestFit="1" customWidth="1"/>
    <col min="24" max="24" width="11.1796875" style="59" bestFit="1" customWidth="1"/>
    <col min="27" max="27" width="10" bestFit="1" customWidth="1"/>
    <col min="28" max="28" width="9.36328125" bestFit="1" customWidth="1"/>
    <col min="29" max="29" width="16.36328125" customWidth="1"/>
    <col min="30" max="30" width="23.81640625" customWidth="1"/>
  </cols>
  <sheetData>
    <row r="1" spans="1:3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0"/>
      <c r="M1" s="10"/>
      <c r="N1" s="10"/>
      <c r="O1" s="1"/>
      <c r="P1" s="1"/>
      <c r="Q1" s="1"/>
      <c r="R1" s="1"/>
      <c r="S1" s="1"/>
      <c r="T1" s="1"/>
      <c r="U1" s="1"/>
      <c r="V1" s="1"/>
      <c r="W1" s="1"/>
      <c r="X1" s="54"/>
      <c r="Y1" s="1"/>
      <c r="Z1" s="1"/>
      <c r="AA1" s="1"/>
      <c r="AB1" s="1"/>
      <c r="AC1" s="1"/>
      <c r="AD1" s="1"/>
    </row>
    <row r="2" spans="1:30" x14ac:dyDescent="0.35">
      <c r="A2" s="13"/>
      <c r="B2" s="13"/>
      <c r="C2" s="13"/>
      <c r="D2" s="13"/>
      <c r="E2" s="60" t="s">
        <v>0</v>
      </c>
      <c r="F2" s="60"/>
      <c r="G2" s="60"/>
      <c r="H2" s="60"/>
      <c r="I2" s="60"/>
      <c r="J2" s="60"/>
      <c r="K2" s="13"/>
      <c r="L2" s="13"/>
      <c r="M2" s="13"/>
      <c r="N2" s="13"/>
      <c r="O2" s="61" t="s">
        <v>1</v>
      </c>
      <c r="P2" s="62"/>
      <c r="Q2" s="62"/>
      <c r="R2" s="62"/>
      <c r="S2" s="62"/>
      <c r="T2" s="63"/>
      <c r="U2" s="13"/>
      <c r="V2" s="13"/>
      <c r="W2" s="13"/>
      <c r="X2" s="55"/>
      <c r="Y2" s="64" t="s">
        <v>21</v>
      </c>
      <c r="Z2" s="65"/>
      <c r="AA2" s="65"/>
      <c r="AB2" s="65"/>
      <c r="AC2" s="65"/>
      <c r="AD2" s="66"/>
    </row>
    <row r="3" spans="1:30" ht="16.5" customHeight="1" x14ac:dyDescent="0.35">
      <c r="A3" s="74" t="s">
        <v>2</v>
      </c>
      <c r="B3" s="74" t="s">
        <v>3</v>
      </c>
      <c r="C3" s="77" t="s">
        <v>4</v>
      </c>
      <c r="D3" s="77" t="s">
        <v>14</v>
      </c>
      <c r="E3" s="75" t="s">
        <v>9</v>
      </c>
      <c r="F3" s="75"/>
      <c r="G3" s="75"/>
      <c r="H3" s="75"/>
      <c r="I3" s="76" t="s">
        <v>5</v>
      </c>
      <c r="J3" s="75" t="s">
        <v>6</v>
      </c>
      <c r="K3" s="74" t="s">
        <v>2</v>
      </c>
      <c r="L3" s="69" t="s">
        <v>3</v>
      </c>
      <c r="M3" s="70" t="s">
        <v>7</v>
      </c>
      <c r="N3" s="70" t="s">
        <v>8</v>
      </c>
      <c r="O3" s="68" t="s">
        <v>9</v>
      </c>
      <c r="P3" s="68"/>
      <c r="Q3" s="68"/>
      <c r="R3" s="68"/>
      <c r="S3" s="67" t="s">
        <v>5</v>
      </c>
      <c r="T3" s="68" t="s">
        <v>6</v>
      </c>
      <c r="U3" s="74" t="s">
        <v>2</v>
      </c>
      <c r="V3" s="69" t="s">
        <v>3</v>
      </c>
      <c r="W3" s="70" t="s">
        <v>20</v>
      </c>
      <c r="X3" s="71" t="s">
        <v>8</v>
      </c>
      <c r="Y3" s="72" t="s">
        <v>9</v>
      </c>
      <c r="Z3" s="72"/>
      <c r="AA3" s="72"/>
      <c r="AB3" s="72"/>
      <c r="AC3" s="73" t="s">
        <v>5</v>
      </c>
      <c r="AD3" s="72" t="s">
        <v>6</v>
      </c>
    </row>
    <row r="4" spans="1:30" x14ac:dyDescent="0.35">
      <c r="A4" s="74"/>
      <c r="B4" s="74"/>
      <c r="C4" s="77"/>
      <c r="D4" s="77"/>
      <c r="E4" s="14" t="s">
        <v>10</v>
      </c>
      <c r="F4" s="14" t="s">
        <v>11</v>
      </c>
      <c r="G4" s="14" t="s">
        <v>12</v>
      </c>
      <c r="H4" s="14" t="s">
        <v>13</v>
      </c>
      <c r="I4" s="76"/>
      <c r="J4" s="75"/>
      <c r="K4" s="74"/>
      <c r="L4" s="69"/>
      <c r="M4" s="70"/>
      <c r="N4" s="70"/>
      <c r="O4" s="22" t="s">
        <v>10</v>
      </c>
      <c r="P4" s="22" t="s">
        <v>11</v>
      </c>
      <c r="Q4" s="22" t="s">
        <v>12</v>
      </c>
      <c r="R4" s="22" t="s">
        <v>13</v>
      </c>
      <c r="S4" s="67"/>
      <c r="T4" s="68"/>
      <c r="U4" s="74"/>
      <c r="V4" s="69"/>
      <c r="W4" s="70"/>
      <c r="X4" s="71"/>
      <c r="Y4" s="23" t="s">
        <v>10</v>
      </c>
      <c r="Z4" s="23" t="s">
        <v>11</v>
      </c>
      <c r="AA4" s="23" t="s">
        <v>12</v>
      </c>
      <c r="AB4" s="23" t="s">
        <v>13</v>
      </c>
      <c r="AC4" s="73"/>
      <c r="AD4" s="72"/>
    </row>
    <row r="5" spans="1:30" ht="32.25" customHeight="1" x14ac:dyDescent="0.35">
      <c r="A5" s="2">
        <v>1</v>
      </c>
      <c r="B5" s="3">
        <v>41027</v>
      </c>
      <c r="C5" s="3"/>
      <c r="D5" s="3"/>
      <c r="E5" s="8"/>
      <c r="F5" s="8"/>
      <c r="G5" s="8"/>
      <c r="H5" s="4"/>
      <c r="I5" s="4"/>
      <c r="J5" s="15" t="s">
        <v>15</v>
      </c>
      <c r="K5" s="2">
        <v>1</v>
      </c>
      <c r="L5" s="9">
        <v>41370</v>
      </c>
      <c r="M5" s="9"/>
      <c r="N5" s="9"/>
      <c r="O5" s="2"/>
      <c r="P5" s="2"/>
      <c r="Q5" s="2"/>
      <c r="R5" s="2"/>
      <c r="S5" s="2"/>
      <c r="T5" s="17" t="s">
        <v>17</v>
      </c>
      <c r="U5" s="2">
        <v>1</v>
      </c>
      <c r="V5" s="9">
        <v>41728</v>
      </c>
      <c r="W5" s="9"/>
      <c r="X5" s="56"/>
      <c r="Y5" s="2"/>
      <c r="Z5" s="2"/>
      <c r="AA5" s="2"/>
      <c r="AB5" s="2"/>
      <c r="AC5" s="2"/>
      <c r="AD5" s="19" t="s">
        <v>33</v>
      </c>
    </row>
    <row r="6" spans="1:30" ht="48.75" customHeight="1" x14ac:dyDescent="0.35">
      <c r="A6" s="2">
        <v>2</v>
      </c>
      <c r="B6" s="3">
        <v>41170</v>
      </c>
      <c r="C6" s="3"/>
      <c r="D6" s="3"/>
      <c r="E6" s="8"/>
      <c r="F6" s="8"/>
      <c r="G6" s="4"/>
      <c r="H6" s="4"/>
      <c r="I6" s="4"/>
      <c r="J6" s="16" t="s">
        <v>16</v>
      </c>
      <c r="K6" s="2">
        <v>2</v>
      </c>
      <c r="L6" s="9">
        <v>41498</v>
      </c>
      <c r="M6" s="9"/>
      <c r="N6" s="9"/>
      <c r="O6" s="2"/>
      <c r="P6" s="2"/>
      <c r="Q6" s="2"/>
      <c r="R6" s="2"/>
      <c r="S6" s="2"/>
      <c r="T6" s="25" t="s">
        <v>30</v>
      </c>
      <c r="U6" s="2">
        <v>2</v>
      </c>
      <c r="V6" s="9">
        <v>41926</v>
      </c>
      <c r="W6" s="9"/>
      <c r="X6" s="56"/>
      <c r="Y6" s="2"/>
      <c r="Z6" s="2"/>
      <c r="AA6" s="2"/>
      <c r="AB6" s="2"/>
      <c r="AC6" s="2"/>
      <c r="AD6" s="24" t="s">
        <v>34</v>
      </c>
    </row>
    <row r="7" spans="1:30" ht="30" customHeight="1" x14ac:dyDescent="0.35">
      <c r="A7" s="2">
        <v>3</v>
      </c>
      <c r="B7" s="12">
        <v>41257</v>
      </c>
      <c r="C7" s="12"/>
      <c r="D7" s="12"/>
      <c r="E7" s="2"/>
      <c r="F7" s="2"/>
      <c r="G7" s="2"/>
      <c r="H7" s="2"/>
      <c r="I7" s="2"/>
      <c r="J7" s="15" t="s">
        <v>15</v>
      </c>
      <c r="K7" s="2">
        <v>3</v>
      </c>
      <c r="L7" s="9">
        <v>41647</v>
      </c>
      <c r="M7" s="9"/>
      <c r="N7" s="9"/>
      <c r="O7" s="2"/>
      <c r="P7" s="2">
        <v>534</v>
      </c>
      <c r="Q7" s="2"/>
      <c r="R7" s="2" t="s">
        <v>23</v>
      </c>
      <c r="S7" s="2"/>
      <c r="T7" s="19"/>
      <c r="U7" s="2">
        <v>3</v>
      </c>
      <c r="V7" s="9">
        <v>43016</v>
      </c>
      <c r="W7" s="9"/>
      <c r="X7" s="56"/>
      <c r="Y7" s="2"/>
      <c r="Z7" s="2"/>
      <c r="AA7" s="2"/>
      <c r="AB7" s="2"/>
      <c r="AC7" s="2"/>
      <c r="AD7" s="19" t="s">
        <v>36</v>
      </c>
    </row>
    <row r="8" spans="1:30" ht="47" x14ac:dyDescent="0.35">
      <c r="A8" s="2">
        <v>4</v>
      </c>
      <c r="B8" s="12">
        <v>41030</v>
      </c>
      <c r="C8" s="12"/>
      <c r="D8" s="12"/>
      <c r="E8" s="2"/>
      <c r="F8" s="2"/>
      <c r="G8" s="2"/>
      <c r="H8" s="2"/>
      <c r="I8" s="2"/>
      <c r="J8" s="17" t="s">
        <v>17</v>
      </c>
      <c r="K8" s="2">
        <v>4</v>
      </c>
      <c r="L8" s="29">
        <v>41718</v>
      </c>
      <c r="M8" s="11"/>
      <c r="N8" s="11"/>
      <c r="O8" s="7"/>
      <c r="P8" s="2"/>
      <c r="Q8" s="7"/>
      <c r="R8" s="7"/>
      <c r="S8" s="7"/>
      <c r="T8" s="19" t="s">
        <v>24</v>
      </c>
      <c r="U8" s="2">
        <v>4</v>
      </c>
      <c r="V8" s="11">
        <v>43084</v>
      </c>
      <c r="W8" s="11"/>
      <c r="X8" s="57"/>
      <c r="Y8" s="7"/>
      <c r="Z8" s="2" t="s">
        <v>47</v>
      </c>
      <c r="AA8" s="7" t="s">
        <v>46</v>
      </c>
      <c r="AB8" s="7" t="s">
        <v>45</v>
      </c>
      <c r="AC8" s="7">
        <v>32551</v>
      </c>
      <c r="AD8" s="33" t="s">
        <v>48</v>
      </c>
    </row>
    <row r="9" spans="1:30" ht="28.5" x14ac:dyDescent="0.35">
      <c r="A9" s="2">
        <v>5</v>
      </c>
      <c r="B9" s="12">
        <v>41258</v>
      </c>
      <c r="C9" s="12"/>
      <c r="D9" s="12"/>
      <c r="E9" s="2"/>
      <c r="F9" s="2"/>
      <c r="G9" s="2"/>
      <c r="H9" s="2"/>
      <c r="I9" s="2"/>
      <c r="J9" s="18" t="s">
        <v>18</v>
      </c>
      <c r="K9" s="2">
        <v>5</v>
      </c>
      <c r="L9" s="9">
        <v>41740</v>
      </c>
      <c r="M9" s="9"/>
      <c r="N9" s="9"/>
      <c r="O9" s="2"/>
      <c r="P9" s="2"/>
      <c r="Q9" s="2"/>
      <c r="R9" s="2"/>
      <c r="S9" s="2"/>
      <c r="T9" s="19" t="s">
        <v>31</v>
      </c>
      <c r="U9" s="2">
        <v>5</v>
      </c>
      <c r="V9" s="11">
        <v>44844</v>
      </c>
      <c r="W9" s="9"/>
      <c r="X9" s="56"/>
      <c r="Y9" s="2"/>
      <c r="Z9" s="2" t="s">
        <v>50</v>
      </c>
      <c r="AA9" s="2">
        <v>430</v>
      </c>
      <c r="AB9" s="2"/>
      <c r="AC9" s="2">
        <v>114121</v>
      </c>
      <c r="AD9" s="19" t="s">
        <v>49</v>
      </c>
    </row>
    <row r="10" spans="1:30" x14ac:dyDescent="0.35">
      <c r="A10" s="2">
        <v>6</v>
      </c>
      <c r="B10" s="5">
        <v>41267</v>
      </c>
      <c r="C10" s="5"/>
      <c r="D10" s="5"/>
      <c r="E10" s="2"/>
      <c r="F10" s="2"/>
      <c r="G10" s="2"/>
      <c r="H10" s="2"/>
      <c r="I10" s="2"/>
      <c r="J10" s="19" t="s">
        <v>19</v>
      </c>
      <c r="K10" s="2">
        <v>6</v>
      </c>
      <c r="L10" s="11">
        <v>41879</v>
      </c>
      <c r="M10" s="11"/>
      <c r="N10" s="11"/>
      <c r="O10" s="7"/>
      <c r="P10" s="2">
        <v>535</v>
      </c>
      <c r="Q10" s="7"/>
      <c r="R10" s="7">
        <v>445</v>
      </c>
      <c r="S10" s="7"/>
      <c r="T10" s="21"/>
      <c r="U10" s="2">
        <v>6</v>
      </c>
      <c r="V10" s="11">
        <v>45372</v>
      </c>
      <c r="W10" s="2">
        <v>25959508</v>
      </c>
      <c r="X10" s="56"/>
      <c r="Y10" s="2"/>
      <c r="Z10" s="2">
        <v>535</v>
      </c>
      <c r="AA10" s="2">
        <v>755</v>
      </c>
      <c r="AB10" s="2" t="s">
        <v>83</v>
      </c>
      <c r="AC10" s="2">
        <v>144887</v>
      </c>
      <c r="AD10" s="19" t="s">
        <v>84</v>
      </c>
    </row>
    <row r="11" spans="1:30" ht="28.5" x14ac:dyDescent="0.35">
      <c r="A11" s="2">
        <v>7</v>
      </c>
      <c r="B11" s="5">
        <v>41304</v>
      </c>
      <c r="C11" s="5"/>
      <c r="D11" s="5"/>
      <c r="E11" s="2"/>
      <c r="F11" s="2"/>
      <c r="G11" s="2"/>
      <c r="H11" s="2"/>
      <c r="I11" s="2"/>
      <c r="J11" s="18" t="s">
        <v>17</v>
      </c>
      <c r="K11" s="2">
        <v>7</v>
      </c>
      <c r="L11" s="11">
        <v>42105</v>
      </c>
      <c r="M11" s="11"/>
      <c r="N11" s="11"/>
      <c r="O11" s="7"/>
      <c r="P11" s="2">
        <v>530</v>
      </c>
      <c r="Q11" s="7"/>
      <c r="R11" s="7">
        <v>442</v>
      </c>
      <c r="S11" s="7"/>
      <c r="T11" s="21" t="s">
        <v>32</v>
      </c>
      <c r="U11" s="2">
        <v>7</v>
      </c>
      <c r="V11" s="11">
        <v>45663</v>
      </c>
      <c r="W11" s="2">
        <v>30151048</v>
      </c>
      <c r="X11" s="56"/>
      <c r="Y11" s="2"/>
      <c r="Z11" s="2"/>
      <c r="AA11" s="2"/>
      <c r="AB11" s="2"/>
      <c r="AC11" s="2"/>
      <c r="AD11" s="19" t="s">
        <v>89</v>
      </c>
    </row>
    <row r="12" spans="1:30" ht="30" customHeight="1" x14ac:dyDescent="0.35">
      <c r="A12" s="2">
        <v>8</v>
      </c>
      <c r="B12" s="5">
        <v>41370</v>
      </c>
      <c r="C12" s="5"/>
      <c r="D12" s="5"/>
      <c r="E12" s="2"/>
      <c r="F12" s="2"/>
      <c r="G12" s="2"/>
      <c r="H12" s="2"/>
      <c r="I12" s="2"/>
      <c r="J12" s="18" t="s">
        <v>18</v>
      </c>
      <c r="K12" s="2">
        <v>8</v>
      </c>
      <c r="L12" s="11">
        <v>43016</v>
      </c>
      <c r="M12" s="11"/>
      <c r="N12" s="11"/>
      <c r="O12" s="7"/>
      <c r="P12" s="2"/>
      <c r="Q12" s="7"/>
      <c r="R12" s="7"/>
      <c r="S12" s="7"/>
      <c r="T12" s="27" t="s">
        <v>35</v>
      </c>
      <c r="U12" s="2">
        <v>8</v>
      </c>
      <c r="V12" s="11">
        <v>45723</v>
      </c>
      <c r="W12" s="51">
        <v>32511904</v>
      </c>
      <c r="X12" s="57"/>
      <c r="Y12" s="7"/>
      <c r="Z12" s="2"/>
      <c r="AA12" s="7"/>
      <c r="AB12" s="7"/>
      <c r="AC12" s="7"/>
      <c r="AD12" s="33" t="s">
        <v>93</v>
      </c>
    </row>
    <row r="13" spans="1:30" ht="42.5" x14ac:dyDescent="0.35">
      <c r="A13" s="2">
        <v>9</v>
      </c>
      <c r="B13" s="5">
        <v>41416</v>
      </c>
      <c r="C13" s="5"/>
      <c r="D13" s="5"/>
      <c r="E13" s="2"/>
      <c r="F13" s="2"/>
      <c r="G13" s="2"/>
      <c r="H13" s="2"/>
      <c r="I13" s="2"/>
      <c r="J13" s="18" t="s">
        <v>22</v>
      </c>
      <c r="K13" s="2"/>
      <c r="L13" s="11">
        <v>43021</v>
      </c>
      <c r="M13" s="11"/>
      <c r="N13" s="11"/>
      <c r="O13" s="7"/>
      <c r="P13" s="2"/>
      <c r="Q13" s="7"/>
      <c r="R13" s="7"/>
      <c r="S13" s="7"/>
      <c r="T13" s="27" t="s">
        <v>37</v>
      </c>
      <c r="U13" s="2">
        <v>9</v>
      </c>
      <c r="V13" s="11">
        <v>45873</v>
      </c>
      <c r="W13" s="51">
        <v>32877462</v>
      </c>
      <c r="X13" s="56"/>
      <c r="Y13" s="2"/>
      <c r="Z13" s="2"/>
      <c r="AA13" s="2"/>
      <c r="AB13" s="2"/>
      <c r="AC13" s="2">
        <v>169388</v>
      </c>
      <c r="AD13" s="19" t="s">
        <v>95</v>
      </c>
    </row>
    <row r="14" spans="1:30" ht="105" x14ac:dyDescent="0.35">
      <c r="A14" s="2">
        <v>10</v>
      </c>
      <c r="B14" s="5">
        <v>41472</v>
      </c>
      <c r="C14" s="5"/>
      <c r="D14" s="5"/>
      <c r="E14" s="2"/>
      <c r="F14" s="2"/>
      <c r="G14" s="2"/>
      <c r="H14" s="2"/>
      <c r="I14" s="2"/>
      <c r="J14" s="19" t="s">
        <v>29</v>
      </c>
      <c r="K14" s="2"/>
      <c r="L14" s="29">
        <v>43067</v>
      </c>
      <c r="M14" s="11"/>
      <c r="N14" s="11"/>
      <c r="O14" s="7"/>
      <c r="P14" s="17" t="s">
        <v>38</v>
      </c>
      <c r="Q14" s="28" t="s">
        <v>40</v>
      </c>
      <c r="R14" s="7"/>
      <c r="S14" s="28">
        <v>32545</v>
      </c>
      <c r="T14" s="30" t="s">
        <v>39</v>
      </c>
      <c r="U14" s="2"/>
      <c r="V14" s="11">
        <v>46052</v>
      </c>
      <c r="W14" s="51">
        <v>35283008</v>
      </c>
      <c r="X14" s="56"/>
      <c r="Y14" s="2"/>
      <c r="Z14" s="2"/>
      <c r="AA14" s="2"/>
      <c r="AB14" s="2"/>
      <c r="AC14" s="2">
        <v>169388</v>
      </c>
      <c r="AD14" s="19" t="s">
        <v>98</v>
      </c>
    </row>
    <row r="15" spans="1:30" ht="42.5" x14ac:dyDescent="0.35">
      <c r="A15" s="2">
        <v>11</v>
      </c>
      <c r="B15" s="5">
        <v>41475</v>
      </c>
      <c r="C15" s="5"/>
      <c r="D15" s="5"/>
      <c r="E15" s="2"/>
      <c r="F15" s="2"/>
      <c r="G15" s="2"/>
      <c r="H15" s="2"/>
      <c r="I15" s="2"/>
      <c r="J15" s="20" t="s">
        <v>25</v>
      </c>
      <c r="K15" s="2"/>
      <c r="L15" s="11">
        <v>43068</v>
      </c>
      <c r="M15" s="11"/>
      <c r="N15" s="11"/>
      <c r="O15" s="7"/>
      <c r="P15" s="2"/>
      <c r="Q15" s="7"/>
      <c r="R15" s="7"/>
      <c r="S15" s="7"/>
      <c r="T15" s="31" t="s">
        <v>41</v>
      </c>
      <c r="U15" s="2"/>
      <c r="V15" s="11">
        <v>46120</v>
      </c>
      <c r="W15" s="51">
        <v>36378632</v>
      </c>
      <c r="X15" s="56">
        <f>W15-W14</f>
        <v>1095624</v>
      </c>
      <c r="Y15" s="2"/>
      <c r="Z15" s="2">
        <v>530</v>
      </c>
      <c r="AA15" s="2">
        <v>430</v>
      </c>
      <c r="AB15" s="2"/>
      <c r="AC15" s="2"/>
      <c r="AD15" s="19" t="s">
        <v>99</v>
      </c>
    </row>
    <row r="16" spans="1:30" x14ac:dyDescent="0.35">
      <c r="A16" s="2">
        <v>12</v>
      </c>
      <c r="B16" s="5">
        <v>41498</v>
      </c>
      <c r="C16" s="5"/>
      <c r="D16" s="5"/>
      <c r="E16" s="2"/>
      <c r="F16" s="2"/>
      <c r="G16" s="2"/>
      <c r="H16" s="2"/>
      <c r="I16" s="2"/>
      <c r="J16" s="18"/>
      <c r="K16" s="2"/>
      <c r="L16" s="11">
        <v>45001</v>
      </c>
      <c r="M16" s="11"/>
      <c r="N16" s="11"/>
      <c r="O16" s="7"/>
      <c r="P16" s="2" t="s">
        <v>38</v>
      </c>
      <c r="Q16" s="7"/>
      <c r="R16" s="7" t="s">
        <v>55</v>
      </c>
      <c r="S16" s="7">
        <v>122391</v>
      </c>
      <c r="T16" s="21"/>
      <c r="U16" s="2"/>
      <c r="V16" s="9"/>
      <c r="W16" s="9"/>
      <c r="X16" s="56"/>
      <c r="Y16" s="2"/>
      <c r="Z16" s="2"/>
      <c r="AA16" s="2"/>
      <c r="AB16" s="2"/>
      <c r="AC16" s="2"/>
      <c r="AD16" s="19"/>
    </row>
    <row r="17" spans="1:30" ht="15.5" x14ac:dyDescent="0.35">
      <c r="A17" s="2">
        <v>13</v>
      </c>
      <c r="B17" s="5">
        <v>41542</v>
      </c>
      <c r="C17" s="5"/>
      <c r="D17" s="5"/>
      <c r="E17" s="2"/>
      <c r="F17" s="2"/>
      <c r="G17" s="2"/>
      <c r="H17" s="2" t="s">
        <v>26</v>
      </c>
      <c r="I17" s="2"/>
      <c r="J17" s="19"/>
      <c r="K17" s="2"/>
      <c r="L17" s="11">
        <v>45170</v>
      </c>
      <c r="M17" s="7">
        <v>29131226</v>
      </c>
      <c r="N17" s="11"/>
      <c r="O17" s="7" t="s">
        <v>59</v>
      </c>
      <c r="P17" s="2" t="s">
        <v>60</v>
      </c>
      <c r="Q17" s="7">
        <v>531</v>
      </c>
      <c r="R17" s="7" t="s">
        <v>61</v>
      </c>
      <c r="S17" s="7">
        <v>132597</v>
      </c>
      <c r="T17" s="37" t="s">
        <v>62</v>
      </c>
      <c r="U17" s="2"/>
      <c r="V17" s="9"/>
      <c r="W17" s="9"/>
      <c r="X17" s="56"/>
      <c r="Y17" s="2"/>
      <c r="Z17" s="2"/>
      <c r="AA17" s="2"/>
      <c r="AB17" s="2"/>
      <c r="AC17" s="2"/>
      <c r="AD17" s="19"/>
    </row>
    <row r="18" spans="1:30" ht="24" x14ac:dyDescent="0.35">
      <c r="A18" s="2">
        <v>14</v>
      </c>
      <c r="B18" s="5">
        <v>41647</v>
      </c>
      <c r="C18" s="5"/>
      <c r="D18" s="5"/>
      <c r="E18" s="2"/>
      <c r="F18" s="2" t="s">
        <v>28</v>
      </c>
      <c r="G18" s="2"/>
      <c r="H18" s="2" t="s">
        <v>27</v>
      </c>
      <c r="I18" s="2"/>
      <c r="J18" s="19"/>
      <c r="K18" s="2"/>
      <c r="L18" s="45">
        <v>45262</v>
      </c>
      <c r="M18" s="18">
        <v>30321564</v>
      </c>
      <c r="N18" s="11"/>
      <c r="O18" s="7"/>
      <c r="P18" s="2" t="s">
        <v>77</v>
      </c>
      <c r="Q18" s="7" t="s">
        <v>76</v>
      </c>
      <c r="R18" s="7" t="s">
        <v>78</v>
      </c>
      <c r="S18" s="7"/>
      <c r="T18" s="33" t="s">
        <v>79</v>
      </c>
      <c r="U18" s="2"/>
      <c r="V18" s="9"/>
      <c r="W18" s="9"/>
      <c r="X18" s="56"/>
      <c r="Y18" s="2"/>
      <c r="Z18" s="2"/>
      <c r="AA18" s="2"/>
      <c r="AB18" s="2"/>
      <c r="AC18" s="2"/>
      <c r="AD18" s="19"/>
    </row>
    <row r="19" spans="1:30" x14ac:dyDescent="0.35">
      <c r="A19" s="2">
        <v>15</v>
      </c>
      <c r="B19" s="6">
        <v>41718</v>
      </c>
      <c r="C19" s="6"/>
      <c r="D19" s="6"/>
      <c r="E19" s="7"/>
      <c r="F19" s="51"/>
      <c r="G19" s="51"/>
      <c r="H19" s="51"/>
      <c r="I19" s="51"/>
      <c r="J19" s="7"/>
      <c r="K19" s="2"/>
      <c r="L19" s="35">
        <v>44972</v>
      </c>
      <c r="M19" s="36">
        <v>31177978</v>
      </c>
      <c r="N19" s="36"/>
      <c r="O19" s="36"/>
      <c r="P19" s="36">
        <v>536</v>
      </c>
      <c r="Q19" s="36"/>
      <c r="R19" s="36">
        <v>450</v>
      </c>
      <c r="S19" s="36">
        <v>142033</v>
      </c>
      <c r="T19" s="46" t="s">
        <v>81</v>
      </c>
      <c r="U19" s="2"/>
      <c r="V19" s="9"/>
      <c r="W19" s="9"/>
      <c r="X19" s="56"/>
      <c r="Y19" s="2"/>
      <c r="Z19" s="2"/>
      <c r="AA19" s="2"/>
      <c r="AB19" s="2"/>
      <c r="AC19" s="2"/>
      <c r="AD19" s="19"/>
    </row>
    <row r="20" spans="1:30" ht="35.4" customHeight="1" x14ac:dyDescent="0.35">
      <c r="A20" s="2">
        <v>16</v>
      </c>
      <c r="B20" s="6">
        <v>41879</v>
      </c>
      <c r="C20" s="6"/>
      <c r="D20" s="6"/>
      <c r="E20" s="7"/>
      <c r="F20" s="51">
        <v>535</v>
      </c>
      <c r="G20" s="51"/>
      <c r="H20" s="51">
        <v>440</v>
      </c>
      <c r="I20" s="51"/>
      <c r="J20" s="7"/>
      <c r="K20" s="2"/>
      <c r="L20" s="11">
        <v>45352</v>
      </c>
      <c r="M20" s="36">
        <v>31363688</v>
      </c>
      <c r="N20" s="11"/>
      <c r="O20" s="7"/>
      <c r="P20" s="2"/>
      <c r="Q20" s="7"/>
      <c r="R20" s="7"/>
      <c r="S20" s="7"/>
      <c r="T20" s="33" t="s">
        <v>82</v>
      </c>
      <c r="U20" s="2"/>
      <c r="V20" s="9"/>
      <c r="W20" s="9"/>
      <c r="X20" s="56"/>
      <c r="Y20" s="2"/>
      <c r="Z20" s="2"/>
      <c r="AA20" s="2"/>
      <c r="AB20" s="2"/>
      <c r="AC20" s="2"/>
      <c r="AD20" s="19"/>
    </row>
    <row r="21" spans="1:30" ht="42.5" x14ac:dyDescent="0.35">
      <c r="A21" s="2">
        <v>17</v>
      </c>
      <c r="B21" s="32">
        <v>43084</v>
      </c>
      <c r="C21" s="32"/>
      <c r="D21" s="32"/>
      <c r="E21" s="28"/>
      <c r="F21" s="28" t="s">
        <v>38</v>
      </c>
      <c r="G21" s="28" t="s">
        <v>43</v>
      </c>
      <c r="H21" s="28" t="s">
        <v>42</v>
      </c>
      <c r="I21" s="51"/>
      <c r="J21" s="20" t="s">
        <v>44</v>
      </c>
      <c r="K21" s="2"/>
      <c r="L21" s="11">
        <v>45631</v>
      </c>
      <c r="M21" s="18">
        <v>35226592</v>
      </c>
      <c r="N21" s="11"/>
      <c r="O21" s="7"/>
      <c r="P21" s="2"/>
      <c r="Q21" s="7"/>
      <c r="R21" s="7"/>
      <c r="S21" s="7"/>
      <c r="T21" s="33" t="s">
        <v>88</v>
      </c>
      <c r="U21" s="2"/>
      <c r="V21" s="9"/>
      <c r="W21" s="9"/>
      <c r="X21" s="56"/>
      <c r="Y21" s="2"/>
      <c r="Z21" s="2"/>
      <c r="AA21" s="2"/>
      <c r="AB21" s="2"/>
      <c r="AC21" s="2"/>
      <c r="AD21" s="19"/>
    </row>
    <row r="22" spans="1:30" ht="35.5" x14ac:dyDescent="0.35">
      <c r="A22" s="2">
        <v>18</v>
      </c>
      <c r="B22" s="35">
        <v>44871</v>
      </c>
      <c r="C22" s="36"/>
      <c r="D22" s="36"/>
      <c r="E22" s="36"/>
      <c r="F22" s="52" t="s">
        <v>51</v>
      </c>
      <c r="G22" s="52"/>
      <c r="H22" s="52" t="s">
        <v>52</v>
      </c>
      <c r="I22" s="52"/>
      <c r="J22" s="36" t="s">
        <v>53</v>
      </c>
      <c r="K22" s="2"/>
      <c r="L22" s="11">
        <v>45659</v>
      </c>
      <c r="M22" s="7">
        <v>35617048</v>
      </c>
      <c r="N22" s="11"/>
      <c r="O22" s="7"/>
      <c r="P22" s="2"/>
      <c r="Q22" s="7"/>
      <c r="R22" s="7"/>
      <c r="S22" s="7"/>
      <c r="T22" s="33" t="s">
        <v>91</v>
      </c>
      <c r="U22" s="2"/>
      <c r="V22" s="9"/>
      <c r="W22" s="9"/>
      <c r="X22" s="56"/>
      <c r="Y22" s="2"/>
      <c r="Z22" s="2"/>
      <c r="AA22" s="2"/>
      <c r="AB22" s="2"/>
      <c r="AC22" s="2"/>
      <c r="AD22" s="19"/>
    </row>
    <row r="23" spans="1:30" ht="58.5" x14ac:dyDescent="0.35">
      <c r="A23" s="2">
        <v>19</v>
      </c>
      <c r="B23" s="32">
        <v>44917</v>
      </c>
      <c r="C23" s="32"/>
      <c r="D23" s="32"/>
      <c r="E23" s="28"/>
      <c r="F23" s="28"/>
      <c r="G23" s="28"/>
      <c r="H23" s="28"/>
      <c r="I23" s="51">
        <v>118572</v>
      </c>
      <c r="J23" s="20" t="s">
        <v>54</v>
      </c>
      <c r="K23" s="2"/>
      <c r="L23" s="11">
        <v>45723</v>
      </c>
      <c r="M23" s="7">
        <v>38126596</v>
      </c>
      <c r="N23" s="11"/>
      <c r="O23" s="7"/>
      <c r="P23" s="2"/>
      <c r="Q23" s="7"/>
      <c r="R23" s="7"/>
      <c r="S23" s="7"/>
      <c r="T23" s="33" t="s">
        <v>94</v>
      </c>
      <c r="U23" s="2"/>
      <c r="V23" s="11"/>
      <c r="W23" s="11"/>
      <c r="X23" s="57"/>
      <c r="Y23" s="7"/>
      <c r="Z23" s="2"/>
      <c r="AA23" s="7"/>
      <c r="AB23" s="7"/>
      <c r="AC23" s="7"/>
      <c r="AD23" s="21"/>
    </row>
    <row r="24" spans="1:30" ht="24" x14ac:dyDescent="0.35">
      <c r="A24" s="2">
        <v>20</v>
      </c>
      <c r="B24" s="32">
        <v>45017</v>
      </c>
      <c r="C24" s="36"/>
      <c r="D24" s="36"/>
      <c r="E24" s="36"/>
      <c r="F24" s="52" t="s">
        <v>56</v>
      </c>
      <c r="G24" s="52" t="s">
        <v>58</v>
      </c>
      <c r="H24" s="52" t="s">
        <v>57</v>
      </c>
      <c r="I24" s="52"/>
      <c r="J24" s="36"/>
      <c r="K24" s="36"/>
      <c r="L24" s="11">
        <v>46033</v>
      </c>
      <c r="M24" s="7">
        <v>40918524</v>
      </c>
      <c r="N24" s="11"/>
      <c r="O24" s="7"/>
      <c r="P24" s="2"/>
      <c r="Q24" s="7"/>
      <c r="R24" s="7"/>
      <c r="S24" s="7"/>
      <c r="T24" s="33" t="s">
        <v>97</v>
      </c>
      <c r="U24" s="2"/>
      <c r="V24" s="36"/>
      <c r="W24" s="36"/>
      <c r="X24" s="58"/>
      <c r="Y24" s="36"/>
      <c r="Z24" s="36"/>
      <c r="AA24" s="36"/>
      <c r="AB24" s="36"/>
      <c r="AC24" s="36"/>
      <c r="AD24" s="36"/>
    </row>
    <row r="25" spans="1:30" ht="38" customHeight="1" x14ac:dyDescent="0.35">
      <c r="A25" s="2">
        <v>21</v>
      </c>
      <c r="B25" s="35">
        <v>45275</v>
      </c>
      <c r="C25" s="36"/>
      <c r="D25" s="36"/>
      <c r="E25" s="36"/>
      <c r="F25" s="52">
        <v>523</v>
      </c>
      <c r="G25" s="52"/>
      <c r="H25" s="52">
        <v>445</v>
      </c>
      <c r="I25" s="52">
        <v>138319</v>
      </c>
      <c r="J25" s="46" t="s">
        <v>80</v>
      </c>
      <c r="K25" s="7"/>
      <c r="L25" s="11">
        <v>46149</v>
      </c>
      <c r="M25" s="7">
        <v>42789016</v>
      </c>
      <c r="N25" s="11"/>
      <c r="O25" s="7"/>
      <c r="P25" s="2"/>
      <c r="Q25" s="7"/>
      <c r="R25" s="7"/>
      <c r="S25" s="7"/>
      <c r="T25" s="33" t="s">
        <v>102</v>
      </c>
      <c r="U25" s="36"/>
      <c r="V25" s="36"/>
      <c r="W25" s="36"/>
      <c r="X25" s="58"/>
      <c r="Y25" s="36"/>
      <c r="Z25" s="36"/>
      <c r="AA25" s="36"/>
      <c r="AB25" s="36"/>
      <c r="AC25" s="36"/>
      <c r="AD25" s="36"/>
    </row>
    <row r="26" spans="1:30" ht="38" customHeight="1" x14ac:dyDescent="0.35">
      <c r="A26" s="2">
        <v>22</v>
      </c>
      <c r="B26" s="35">
        <v>45365</v>
      </c>
      <c r="C26" s="36">
        <v>35916600</v>
      </c>
      <c r="D26" s="36"/>
      <c r="E26" s="36"/>
      <c r="F26" s="52">
        <v>535</v>
      </c>
      <c r="G26" s="52">
        <v>740</v>
      </c>
      <c r="H26" s="52">
        <v>430</v>
      </c>
      <c r="I26" s="52">
        <v>144341</v>
      </c>
      <c r="J26" s="46"/>
      <c r="K26" s="7"/>
      <c r="L26" s="35"/>
      <c r="M26" s="36"/>
      <c r="N26" s="36"/>
      <c r="O26" s="36"/>
      <c r="P26" s="36"/>
      <c r="Q26" s="36"/>
      <c r="R26" s="36"/>
      <c r="S26" s="36"/>
      <c r="T26" s="46"/>
      <c r="U26" s="36"/>
      <c r="V26" s="36"/>
      <c r="W26" s="36"/>
      <c r="X26" s="58"/>
      <c r="Y26" s="36"/>
      <c r="Z26" s="36"/>
      <c r="AA26" s="36"/>
      <c r="AB26" s="36"/>
      <c r="AC26" s="36"/>
      <c r="AD26" s="36"/>
    </row>
    <row r="27" spans="1:30" ht="29" x14ac:dyDescent="0.35">
      <c r="A27" s="2">
        <v>23</v>
      </c>
      <c r="B27" s="35">
        <v>45414</v>
      </c>
      <c r="C27" s="36">
        <v>36595404</v>
      </c>
      <c r="D27" s="58">
        <f>C27-C26</f>
        <v>678804</v>
      </c>
      <c r="E27" s="36"/>
      <c r="F27" s="52"/>
      <c r="G27" s="52"/>
      <c r="H27" s="52"/>
      <c r="I27" s="52">
        <v>147152</v>
      </c>
      <c r="J27" s="46" t="s">
        <v>85</v>
      </c>
      <c r="K27" s="1"/>
      <c r="L27" s="10"/>
      <c r="M27" s="10"/>
      <c r="N27" s="10"/>
      <c r="O27" s="1"/>
      <c r="P27" s="1"/>
      <c r="Q27" s="1"/>
      <c r="R27" s="1"/>
      <c r="S27" s="1"/>
      <c r="T27" s="1"/>
      <c r="U27" s="1"/>
      <c r="V27" s="1"/>
      <c r="W27" s="1"/>
      <c r="X27" s="54"/>
      <c r="Y27" s="1"/>
      <c r="Z27" s="1"/>
      <c r="AA27" s="1"/>
      <c r="AB27" s="1"/>
      <c r="AC27" s="1"/>
      <c r="AD27" s="1"/>
    </row>
    <row r="28" spans="1:30" ht="43.5" x14ac:dyDescent="0.35">
      <c r="A28" s="2">
        <v>24</v>
      </c>
      <c r="B28" s="48">
        <v>45513</v>
      </c>
      <c r="C28" s="49">
        <v>38069932</v>
      </c>
      <c r="D28" s="58">
        <f t="shared" ref="D28:D32" si="0">C28-C27</f>
        <v>1474528</v>
      </c>
      <c r="E28" s="49"/>
      <c r="F28" s="53"/>
      <c r="G28" s="53"/>
      <c r="H28" s="53"/>
      <c r="I28" s="53"/>
      <c r="J28" s="50" t="s">
        <v>86</v>
      </c>
      <c r="K28" s="1"/>
      <c r="L28" s="10"/>
      <c r="M28" s="10"/>
      <c r="N28" s="10"/>
      <c r="O28" s="1"/>
      <c r="P28" s="1"/>
      <c r="Q28" s="1"/>
      <c r="R28" s="1"/>
      <c r="S28" s="1"/>
      <c r="T28" s="1"/>
      <c r="U28" s="1"/>
      <c r="V28" s="1"/>
      <c r="W28" s="1"/>
      <c r="X28" s="54"/>
      <c r="Y28" s="1"/>
      <c r="Z28" s="1"/>
      <c r="AA28" s="1"/>
      <c r="AB28" s="1"/>
      <c r="AC28" s="1"/>
      <c r="AD28" s="1"/>
    </row>
    <row r="29" spans="1:30" x14ac:dyDescent="0.35">
      <c r="A29" s="2">
        <v>25</v>
      </c>
      <c r="B29" s="35">
        <v>45576</v>
      </c>
      <c r="C29" s="49">
        <v>38934848</v>
      </c>
      <c r="D29" s="58">
        <f t="shared" si="0"/>
        <v>864916</v>
      </c>
      <c r="E29" s="36"/>
      <c r="F29" s="36"/>
      <c r="G29" s="36"/>
      <c r="H29" s="36"/>
      <c r="I29" s="36"/>
      <c r="J29" s="46" t="s">
        <v>87</v>
      </c>
      <c r="K29" s="1"/>
      <c r="L29" s="10"/>
      <c r="M29" s="10"/>
      <c r="N29" s="10"/>
      <c r="U29" s="1"/>
      <c r="V29" s="1"/>
      <c r="W29" s="1"/>
      <c r="X29" s="54"/>
      <c r="Y29" s="1"/>
      <c r="Z29" s="1"/>
      <c r="AA29" s="1"/>
      <c r="AB29" s="1"/>
      <c r="AC29" s="1"/>
      <c r="AD29" s="1"/>
    </row>
    <row r="30" spans="1:30" ht="29" x14ac:dyDescent="0.35">
      <c r="A30" s="2">
        <v>26</v>
      </c>
      <c r="B30" s="35">
        <v>45664</v>
      </c>
      <c r="C30" s="49">
        <v>40030416</v>
      </c>
      <c r="D30" s="58">
        <f t="shared" si="0"/>
        <v>1095568</v>
      </c>
      <c r="E30" s="36"/>
      <c r="F30" s="36"/>
      <c r="G30" s="36"/>
      <c r="H30" s="36"/>
      <c r="I30" s="36"/>
      <c r="J30" s="46" t="s">
        <v>90</v>
      </c>
      <c r="K30" s="1"/>
      <c r="L30" s="10"/>
      <c r="M30" s="10"/>
      <c r="N30" s="10"/>
      <c r="U30" s="1"/>
    </row>
    <row r="31" spans="1:30" ht="29" x14ac:dyDescent="0.35">
      <c r="A31" s="2">
        <v>27</v>
      </c>
      <c r="B31" s="35">
        <v>45841</v>
      </c>
      <c r="C31" s="49">
        <v>40030416</v>
      </c>
      <c r="D31" s="58">
        <f t="shared" si="0"/>
        <v>0</v>
      </c>
      <c r="E31" s="36"/>
      <c r="F31" s="36"/>
      <c r="G31" s="36"/>
      <c r="H31" s="36"/>
      <c r="I31" s="36"/>
      <c r="J31" s="46" t="s">
        <v>92</v>
      </c>
      <c r="K31" s="1"/>
      <c r="L31" s="10"/>
      <c r="M31" s="10"/>
      <c r="N31" s="10"/>
    </row>
    <row r="32" spans="1:30" ht="29" x14ac:dyDescent="0.35">
      <c r="A32" s="2">
        <v>28</v>
      </c>
      <c r="B32" s="35">
        <v>45848</v>
      </c>
      <c r="C32" s="49">
        <v>43757188</v>
      </c>
      <c r="D32" s="58">
        <f t="shared" si="0"/>
        <v>3726772</v>
      </c>
      <c r="E32" s="36"/>
      <c r="F32" s="36"/>
      <c r="G32" s="36"/>
      <c r="H32" s="36"/>
      <c r="I32" s="36"/>
      <c r="J32" s="46" t="s">
        <v>96</v>
      </c>
      <c r="K32" s="1"/>
      <c r="L32" s="10"/>
      <c r="M32" s="10"/>
      <c r="N32" s="10"/>
    </row>
    <row r="33" spans="1:14" ht="87" x14ac:dyDescent="0.35">
      <c r="A33" s="2">
        <v>29</v>
      </c>
      <c r="B33" s="35">
        <v>46128</v>
      </c>
      <c r="C33" s="49">
        <v>46225900</v>
      </c>
      <c r="D33" s="58">
        <f>C33-C32</f>
        <v>2468712</v>
      </c>
      <c r="E33" s="36"/>
      <c r="F33" s="36"/>
      <c r="G33" s="36"/>
      <c r="H33" s="36"/>
      <c r="I33" s="36"/>
      <c r="J33" s="46" t="s">
        <v>100</v>
      </c>
      <c r="K33" s="1"/>
      <c r="L33" s="10"/>
      <c r="M33" s="10"/>
      <c r="N33" s="10"/>
    </row>
    <row r="34" spans="1:14" ht="29" x14ac:dyDescent="0.35">
      <c r="A34" s="2">
        <v>30</v>
      </c>
      <c r="B34" s="35">
        <v>46149</v>
      </c>
      <c r="C34" s="49">
        <v>46580484</v>
      </c>
      <c r="D34" s="58">
        <f>C34-C33</f>
        <v>354584</v>
      </c>
      <c r="E34" s="36"/>
      <c r="F34" s="36"/>
      <c r="G34" s="36"/>
      <c r="H34" s="36"/>
      <c r="I34" s="36"/>
      <c r="J34" s="46" t="s">
        <v>101</v>
      </c>
      <c r="K34" s="1"/>
      <c r="L34" s="10"/>
      <c r="M34" s="10"/>
      <c r="N34" s="10"/>
    </row>
  </sheetData>
  <mergeCells count="24">
    <mergeCell ref="N3:N4"/>
    <mergeCell ref="A3:A4"/>
    <mergeCell ref="B3:B4"/>
    <mergeCell ref="E3:H3"/>
    <mergeCell ref="J3:J4"/>
    <mergeCell ref="I3:I4"/>
    <mergeCell ref="C3:C4"/>
    <mergeCell ref="D3:D4"/>
    <mergeCell ref="E2:J2"/>
    <mergeCell ref="O2:T2"/>
    <mergeCell ref="Y2:AD2"/>
    <mergeCell ref="S3:S4"/>
    <mergeCell ref="T3:T4"/>
    <mergeCell ref="V3:V4"/>
    <mergeCell ref="W3:W4"/>
    <mergeCell ref="X3:X4"/>
    <mergeCell ref="Y3:AB3"/>
    <mergeCell ref="AC3:AC4"/>
    <mergeCell ref="AD3:AD4"/>
    <mergeCell ref="U3:U4"/>
    <mergeCell ref="K3:K4"/>
    <mergeCell ref="L3:L4"/>
    <mergeCell ref="O3:R3"/>
    <mergeCell ref="M3:M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3"/>
  <sheetViews>
    <sheetView zoomScale="85" zoomScaleNormal="85" workbookViewId="0">
      <selection activeCell="I15" sqref="I15"/>
    </sheetView>
  </sheetViews>
  <sheetFormatPr defaultRowHeight="14.5" x14ac:dyDescent="0.35"/>
  <cols>
    <col min="1" max="1" width="3.90625" customWidth="1"/>
    <col min="2" max="2" width="11.54296875" bestFit="1" customWidth="1"/>
    <col min="3" max="3" width="12.36328125" customWidth="1"/>
    <col min="8" max="9" width="10" bestFit="1" customWidth="1"/>
    <col min="10" max="10" width="16.36328125" customWidth="1"/>
    <col min="11" max="11" width="34.54296875" bestFit="1" customWidth="1"/>
    <col min="12" max="12" width="3.90625" customWidth="1"/>
    <col min="13" max="13" width="11.6328125" bestFit="1" customWidth="1"/>
    <col min="14" max="14" width="14.453125" customWidth="1"/>
    <col min="19" max="20" width="10" bestFit="1" customWidth="1"/>
    <col min="21" max="21" width="16.36328125" customWidth="1"/>
    <col min="22" max="22" width="24.6328125" customWidth="1"/>
    <col min="23" max="23" width="3.90625" customWidth="1"/>
    <col min="24" max="24" width="11.453125" bestFit="1" customWidth="1"/>
    <col min="25" max="25" width="12.36328125" customWidth="1"/>
    <col min="30" max="30" width="10" bestFit="1" customWidth="1"/>
    <col min="31" max="31" width="9.36328125" bestFit="1" customWidth="1"/>
    <col min="32" max="32" width="16.36328125" customWidth="1"/>
    <col min="33" max="33" width="24.6328125" customWidth="1"/>
  </cols>
  <sheetData>
    <row r="1" spans="1:33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0"/>
      <c r="N1" s="10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21.65" customHeight="1" x14ac:dyDescent="0.35">
      <c r="A2" s="13"/>
      <c r="B2" s="13"/>
      <c r="C2" s="13"/>
      <c r="D2" s="13"/>
      <c r="E2" s="60" t="s">
        <v>0</v>
      </c>
      <c r="F2" s="60"/>
      <c r="G2" s="60"/>
      <c r="H2" s="60"/>
      <c r="I2" s="60"/>
      <c r="J2" s="60"/>
      <c r="K2" s="60"/>
      <c r="L2" s="13"/>
      <c r="M2" s="13"/>
      <c r="N2" s="13"/>
      <c r="O2" s="13"/>
      <c r="P2" s="61" t="s">
        <v>1</v>
      </c>
      <c r="Q2" s="62"/>
      <c r="R2" s="62"/>
      <c r="S2" s="62"/>
      <c r="T2" s="62"/>
      <c r="U2" s="62"/>
      <c r="V2" s="63"/>
      <c r="W2" s="13"/>
      <c r="X2" s="13"/>
      <c r="Y2" s="13"/>
      <c r="Z2" s="13"/>
      <c r="AA2" s="64" t="s">
        <v>21</v>
      </c>
      <c r="AB2" s="65"/>
      <c r="AC2" s="65"/>
      <c r="AD2" s="65"/>
      <c r="AE2" s="65"/>
      <c r="AF2" s="65"/>
      <c r="AG2" s="66"/>
    </row>
    <row r="3" spans="1:33" ht="21.65" customHeight="1" x14ac:dyDescent="0.35">
      <c r="A3" s="74" t="s">
        <v>2</v>
      </c>
      <c r="B3" s="74" t="s">
        <v>3</v>
      </c>
      <c r="C3" s="77" t="s">
        <v>4</v>
      </c>
      <c r="D3" s="77" t="s">
        <v>14</v>
      </c>
      <c r="E3" s="75" t="s">
        <v>9</v>
      </c>
      <c r="F3" s="75"/>
      <c r="G3" s="75"/>
      <c r="H3" s="75"/>
      <c r="I3" s="75"/>
      <c r="J3" s="76" t="s">
        <v>5</v>
      </c>
      <c r="K3" s="75" t="s">
        <v>6</v>
      </c>
      <c r="L3" s="74" t="s">
        <v>2</v>
      </c>
      <c r="M3" s="69" t="s">
        <v>3</v>
      </c>
      <c r="N3" s="70" t="s">
        <v>7</v>
      </c>
      <c r="O3" s="70" t="s">
        <v>8</v>
      </c>
      <c r="P3" s="68" t="s">
        <v>9</v>
      </c>
      <c r="Q3" s="68"/>
      <c r="R3" s="68"/>
      <c r="S3" s="68"/>
      <c r="T3" s="68"/>
      <c r="U3" s="67" t="s">
        <v>5</v>
      </c>
      <c r="V3" s="68" t="s">
        <v>6</v>
      </c>
      <c r="W3" s="74" t="s">
        <v>2</v>
      </c>
      <c r="X3" s="69" t="s">
        <v>3</v>
      </c>
      <c r="Y3" s="70" t="s">
        <v>20</v>
      </c>
      <c r="Z3" s="70" t="s">
        <v>8</v>
      </c>
      <c r="AA3" s="72" t="s">
        <v>9</v>
      </c>
      <c r="AB3" s="72"/>
      <c r="AC3" s="72"/>
      <c r="AD3" s="72"/>
      <c r="AE3" s="72"/>
      <c r="AF3" s="73" t="s">
        <v>5</v>
      </c>
      <c r="AG3" s="72" t="s">
        <v>6</v>
      </c>
    </row>
    <row r="4" spans="1:33" ht="21.65" customHeight="1" x14ac:dyDescent="0.35">
      <c r="A4" s="74"/>
      <c r="B4" s="74"/>
      <c r="C4" s="77"/>
      <c r="D4" s="77"/>
      <c r="E4" s="14" t="s">
        <v>10</v>
      </c>
      <c r="F4" s="14" t="s">
        <v>11</v>
      </c>
      <c r="G4" s="14" t="s">
        <v>63</v>
      </c>
      <c r="H4" s="14" t="s">
        <v>64</v>
      </c>
      <c r="I4" s="14" t="s">
        <v>12</v>
      </c>
      <c r="J4" s="76"/>
      <c r="K4" s="75"/>
      <c r="L4" s="74"/>
      <c r="M4" s="69"/>
      <c r="N4" s="70"/>
      <c r="O4" s="70"/>
      <c r="P4" s="22" t="s">
        <v>10</v>
      </c>
      <c r="Q4" s="22" t="s">
        <v>11</v>
      </c>
      <c r="R4" s="22" t="s">
        <v>63</v>
      </c>
      <c r="S4" s="22" t="s">
        <v>64</v>
      </c>
      <c r="T4" s="22" t="s">
        <v>12</v>
      </c>
      <c r="U4" s="67"/>
      <c r="V4" s="68"/>
      <c r="W4" s="74"/>
      <c r="X4" s="69"/>
      <c r="Y4" s="70"/>
      <c r="Z4" s="70"/>
      <c r="AA4" s="23" t="s">
        <v>10</v>
      </c>
      <c r="AB4" s="23" t="s">
        <v>11</v>
      </c>
      <c r="AC4" s="23" t="s">
        <v>63</v>
      </c>
      <c r="AD4" s="23" t="s">
        <v>64</v>
      </c>
      <c r="AE4" s="23" t="s">
        <v>12</v>
      </c>
      <c r="AF4" s="73"/>
      <c r="AG4" s="72"/>
    </row>
    <row r="5" spans="1:33" ht="21.65" customHeight="1" x14ac:dyDescent="0.35">
      <c r="A5" s="2">
        <v>1</v>
      </c>
      <c r="B5" s="9">
        <v>41170</v>
      </c>
      <c r="C5" s="3"/>
      <c r="D5" s="3"/>
      <c r="E5" s="8"/>
      <c r="F5" s="8" t="s">
        <v>65</v>
      </c>
      <c r="G5" s="8"/>
      <c r="H5" s="8"/>
      <c r="I5" s="4">
        <v>1</v>
      </c>
      <c r="J5" s="4"/>
      <c r="K5" s="15"/>
      <c r="L5" s="2">
        <v>1</v>
      </c>
      <c r="M5" s="9">
        <v>41370</v>
      </c>
      <c r="N5" s="9"/>
      <c r="O5" s="9"/>
      <c r="P5" s="2"/>
      <c r="Q5" s="2"/>
      <c r="R5" s="2"/>
      <c r="S5" s="2"/>
      <c r="T5" s="2">
        <v>1</v>
      </c>
      <c r="U5" s="2"/>
      <c r="V5" s="17"/>
      <c r="W5" s="2">
        <v>1</v>
      </c>
      <c r="X5" s="38">
        <v>43110</v>
      </c>
      <c r="Y5" s="18"/>
      <c r="Z5" s="39"/>
      <c r="AA5" s="8"/>
      <c r="AB5" s="8"/>
      <c r="AC5" s="8"/>
      <c r="AD5" s="8"/>
      <c r="AE5" s="4">
        <v>1</v>
      </c>
      <c r="AF5" s="4"/>
      <c r="AG5" s="8"/>
    </row>
    <row r="6" spans="1:33" ht="21.65" customHeight="1" x14ac:dyDescent="0.35">
      <c r="A6" s="2">
        <v>2</v>
      </c>
      <c r="B6" s="9">
        <v>41257</v>
      </c>
      <c r="C6" s="3"/>
      <c r="D6" s="3"/>
      <c r="E6" s="8"/>
      <c r="F6" s="8"/>
      <c r="G6" s="8"/>
      <c r="H6" s="4">
        <v>1</v>
      </c>
      <c r="I6" s="4"/>
      <c r="J6" s="4"/>
      <c r="K6" s="16"/>
      <c r="L6" s="2">
        <v>2</v>
      </c>
      <c r="M6" s="9">
        <v>41498</v>
      </c>
      <c r="N6" s="9"/>
      <c r="O6" s="9"/>
      <c r="P6" s="2"/>
      <c r="Q6" s="2"/>
      <c r="R6" s="2"/>
      <c r="S6" s="2"/>
      <c r="T6" s="2">
        <v>1</v>
      </c>
      <c r="U6" s="2"/>
      <c r="V6" s="25"/>
      <c r="W6" s="2">
        <v>2</v>
      </c>
      <c r="X6" s="40">
        <v>43280</v>
      </c>
      <c r="Y6" s="41"/>
      <c r="Z6" s="39"/>
      <c r="AA6" s="2"/>
      <c r="AB6" s="2"/>
      <c r="AC6" s="2">
        <v>1</v>
      </c>
      <c r="AD6" s="2"/>
      <c r="AE6" s="2"/>
      <c r="AF6" s="2"/>
      <c r="AG6" s="18" t="s">
        <v>66</v>
      </c>
    </row>
    <row r="7" spans="1:33" ht="21.65" customHeight="1" x14ac:dyDescent="0.35">
      <c r="A7" s="2">
        <v>4</v>
      </c>
      <c r="B7" s="9">
        <v>41277</v>
      </c>
      <c r="C7" s="12"/>
      <c r="D7" s="12"/>
      <c r="E7" s="2"/>
      <c r="F7" s="2"/>
      <c r="G7" s="2"/>
      <c r="H7" s="2"/>
      <c r="I7" s="2">
        <v>1</v>
      </c>
      <c r="J7" s="2"/>
      <c r="K7" s="15"/>
      <c r="L7" s="2">
        <v>3</v>
      </c>
      <c r="M7" s="9">
        <v>43355</v>
      </c>
      <c r="N7" s="9"/>
      <c r="O7" s="9"/>
      <c r="P7" s="2"/>
      <c r="Q7" s="2"/>
      <c r="R7" s="2"/>
      <c r="S7" s="2"/>
      <c r="T7" s="2">
        <v>1</v>
      </c>
      <c r="U7" s="2"/>
      <c r="V7" s="19"/>
      <c r="W7" s="2">
        <v>3</v>
      </c>
      <c r="X7" s="9">
        <v>43287</v>
      </c>
      <c r="Y7" s="2"/>
      <c r="Z7" s="39"/>
      <c r="AA7" s="2"/>
      <c r="AB7" s="2"/>
      <c r="AC7" s="2">
        <v>1</v>
      </c>
      <c r="AD7" s="2"/>
      <c r="AE7" s="2"/>
      <c r="AF7" s="2"/>
      <c r="AG7" s="2" t="s">
        <v>67</v>
      </c>
    </row>
    <row r="8" spans="1:33" ht="21.65" customHeight="1" x14ac:dyDescent="0.35">
      <c r="A8" s="2">
        <v>5</v>
      </c>
      <c r="B8" s="9">
        <v>41472</v>
      </c>
      <c r="C8" s="12"/>
      <c r="D8" s="12"/>
      <c r="E8" s="2"/>
      <c r="F8" s="2"/>
      <c r="G8" s="2"/>
      <c r="H8" s="2"/>
      <c r="I8" s="2">
        <v>1</v>
      </c>
      <c r="J8" s="2"/>
      <c r="K8" s="17"/>
      <c r="L8" s="2">
        <v>4</v>
      </c>
      <c r="M8" s="29">
        <v>43382</v>
      </c>
      <c r="N8" s="11"/>
      <c r="O8" s="11"/>
      <c r="P8" s="7"/>
      <c r="Q8" s="2"/>
      <c r="R8" s="2"/>
      <c r="S8" s="7"/>
      <c r="T8" s="7">
        <v>1</v>
      </c>
      <c r="U8" s="7"/>
      <c r="V8" s="19"/>
      <c r="W8" s="2">
        <v>4</v>
      </c>
      <c r="X8" s="9">
        <v>43294</v>
      </c>
      <c r="Y8" s="2"/>
      <c r="Z8" s="39"/>
      <c r="AA8" s="18"/>
      <c r="AB8" s="18"/>
      <c r="AC8" s="18"/>
      <c r="AD8" s="18"/>
      <c r="AE8" s="2"/>
      <c r="AF8" s="18"/>
      <c r="AG8" s="19" t="s">
        <v>68</v>
      </c>
    </row>
    <row r="9" spans="1:33" ht="21.65" customHeight="1" x14ac:dyDescent="0.35">
      <c r="A9" s="2">
        <v>6</v>
      </c>
      <c r="B9" s="9">
        <v>41475</v>
      </c>
      <c r="C9" s="12"/>
      <c r="D9" s="12"/>
      <c r="E9" s="2"/>
      <c r="F9" s="2"/>
      <c r="G9" s="2">
        <v>1</v>
      </c>
      <c r="H9" s="2"/>
      <c r="I9" s="2"/>
      <c r="J9" s="2"/>
      <c r="K9" s="18"/>
      <c r="L9" s="2">
        <v>5</v>
      </c>
      <c r="M9" s="9">
        <v>43628</v>
      </c>
      <c r="N9" s="9"/>
      <c r="O9" s="9"/>
      <c r="P9" s="2"/>
      <c r="Q9" s="2"/>
      <c r="R9" s="2">
        <v>1</v>
      </c>
      <c r="S9" s="2"/>
      <c r="T9" s="2"/>
      <c r="U9" s="2"/>
      <c r="V9" s="19"/>
      <c r="W9" s="2">
        <v>5</v>
      </c>
      <c r="X9" s="9">
        <v>43301</v>
      </c>
      <c r="Y9" s="2"/>
      <c r="Z9" s="39"/>
      <c r="AA9" s="2"/>
      <c r="AB9" s="2"/>
      <c r="AC9" s="2">
        <v>1</v>
      </c>
      <c r="AD9" s="2"/>
      <c r="AE9" s="17"/>
      <c r="AF9" s="2"/>
      <c r="AG9" s="18" t="s">
        <v>69</v>
      </c>
    </row>
    <row r="10" spans="1:33" ht="21.65" customHeight="1" x14ac:dyDescent="0.35">
      <c r="A10" s="2">
        <v>7</v>
      </c>
      <c r="B10" s="9">
        <v>41521</v>
      </c>
      <c r="C10" s="5"/>
      <c r="D10" s="5"/>
      <c r="E10" s="2"/>
      <c r="F10" s="2"/>
      <c r="G10" s="2"/>
      <c r="H10" s="2">
        <v>1</v>
      </c>
      <c r="I10" s="2"/>
      <c r="J10" s="2"/>
      <c r="K10" s="19"/>
      <c r="L10" s="2">
        <v>6</v>
      </c>
      <c r="M10" s="11">
        <v>44586</v>
      </c>
      <c r="N10" s="11"/>
      <c r="O10" s="11"/>
      <c r="P10" s="7"/>
      <c r="Q10" s="2"/>
      <c r="R10" s="2"/>
      <c r="S10" s="7">
        <v>1</v>
      </c>
      <c r="T10" s="7"/>
      <c r="U10" s="7"/>
      <c r="V10" s="21"/>
      <c r="W10" s="2">
        <v>6</v>
      </c>
      <c r="X10" s="9">
        <v>43314</v>
      </c>
      <c r="Y10" s="2"/>
      <c r="Z10" s="39"/>
      <c r="AA10" s="2"/>
      <c r="AB10" s="2"/>
      <c r="AC10" s="2">
        <v>1</v>
      </c>
      <c r="AD10" s="2"/>
      <c r="AE10" s="17"/>
      <c r="AF10" s="2"/>
      <c r="AG10" s="18" t="s">
        <v>70</v>
      </c>
    </row>
    <row r="11" spans="1:33" ht="21.65" customHeight="1" x14ac:dyDescent="0.35">
      <c r="A11" s="2">
        <v>8</v>
      </c>
      <c r="B11" s="9">
        <v>43104</v>
      </c>
      <c r="C11" s="5"/>
      <c r="D11" s="5"/>
      <c r="E11" s="2"/>
      <c r="F11" s="2"/>
      <c r="G11" s="2"/>
      <c r="H11" s="2">
        <v>1</v>
      </c>
      <c r="I11" s="2"/>
      <c r="J11" s="2"/>
      <c r="K11" s="18"/>
      <c r="L11" s="2">
        <v>7</v>
      </c>
      <c r="M11" s="11">
        <v>44006</v>
      </c>
      <c r="N11" s="11"/>
      <c r="O11" s="11"/>
      <c r="P11" s="7"/>
      <c r="Q11" s="2"/>
      <c r="R11" s="2"/>
      <c r="S11" s="7"/>
      <c r="T11" s="7">
        <v>1</v>
      </c>
      <c r="U11" s="7"/>
      <c r="V11" s="21"/>
      <c r="W11" s="2"/>
      <c r="X11" s="38">
        <v>43319</v>
      </c>
      <c r="Y11" s="18"/>
      <c r="Z11" s="39"/>
      <c r="AA11" s="18"/>
      <c r="AB11" s="18"/>
      <c r="AC11" s="18">
        <v>1</v>
      </c>
      <c r="AD11" s="18"/>
      <c r="AE11" s="2"/>
      <c r="AF11" s="18"/>
      <c r="AG11" s="21" t="s">
        <v>71</v>
      </c>
    </row>
    <row r="12" spans="1:33" ht="21.65" customHeight="1" x14ac:dyDescent="0.35">
      <c r="A12" s="2">
        <v>9</v>
      </c>
      <c r="B12" s="9">
        <v>43300</v>
      </c>
      <c r="C12" s="5"/>
      <c r="D12" s="5"/>
      <c r="E12" s="2"/>
      <c r="F12" s="2"/>
      <c r="G12" s="2"/>
      <c r="H12" s="2"/>
      <c r="I12" s="2">
        <v>1</v>
      </c>
      <c r="J12" s="2"/>
      <c r="K12" s="18"/>
      <c r="L12" s="2">
        <v>8</v>
      </c>
      <c r="M12" s="11">
        <v>44006</v>
      </c>
      <c r="N12" s="11"/>
      <c r="O12" s="11"/>
      <c r="P12" s="7"/>
      <c r="Q12" s="2"/>
      <c r="R12" s="2">
        <v>1</v>
      </c>
      <c r="S12" s="7"/>
      <c r="T12" s="7"/>
      <c r="U12" s="7"/>
      <c r="V12" s="27"/>
      <c r="W12" s="2"/>
      <c r="X12" s="9">
        <v>43658</v>
      </c>
      <c r="Y12" s="18"/>
      <c r="Z12" s="39"/>
      <c r="AA12" s="18">
        <v>1</v>
      </c>
      <c r="AB12" s="18">
        <v>1</v>
      </c>
      <c r="AC12" s="18">
        <v>1</v>
      </c>
      <c r="AD12" s="18">
        <v>1</v>
      </c>
      <c r="AE12" s="2"/>
      <c r="AF12" s="18"/>
      <c r="AG12" s="21" t="s">
        <v>72</v>
      </c>
    </row>
    <row r="13" spans="1:33" ht="21.65" customHeight="1" x14ac:dyDescent="0.35">
      <c r="A13" s="2">
        <v>10</v>
      </c>
      <c r="B13" s="9">
        <v>43363</v>
      </c>
      <c r="C13" s="5"/>
      <c r="D13" s="5"/>
      <c r="E13" s="2"/>
      <c r="F13" s="2"/>
      <c r="G13" s="2"/>
      <c r="H13" s="2"/>
      <c r="I13" s="2">
        <v>1</v>
      </c>
      <c r="J13" s="2"/>
      <c r="K13" s="18"/>
      <c r="L13" s="2"/>
      <c r="M13" s="11">
        <v>44921</v>
      </c>
      <c r="N13" s="11"/>
      <c r="O13" s="11"/>
      <c r="P13" s="7"/>
      <c r="Q13" s="2"/>
      <c r="R13" s="2"/>
      <c r="S13" s="7"/>
      <c r="T13" s="7">
        <v>1</v>
      </c>
      <c r="U13" s="7"/>
      <c r="V13" s="27"/>
      <c r="W13" s="2"/>
      <c r="X13" s="9">
        <v>43679</v>
      </c>
      <c r="Y13" s="18"/>
      <c r="Z13" s="39"/>
      <c r="AA13" s="18">
        <v>1</v>
      </c>
      <c r="AB13" s="18">
        <v>1</v>
      </c>
      <c r="AC13" s="18">
        <v>1</v>
      </c>
      <c r="AD13" s="18">
        <v>1</v>
      </c>
      <c r="AE13" s="2"/>
      <c r="AF13" s="18"/>
      <c r="AG13" s="42"/>
    </row>
    <row r="14" spans="1:33" ht="21.65" customHeight="1" x14ac:dyDescent="0.35">
      <c r="A14" s="2">
        <v>11</v>
      </c>
      <c r="B14" s="9">
        <v>44155</v>
      </c>
      <c r="C14" s="5"/>
      <c r="D14" s="5"/>
      <c r="E14" s="2">
        <v>1</v>
      </c>
      <c r="F14" s="2">
        <v>1</v>
      </c>
      <c r="G14" s="2">
        <v>1</v>
      </c>
      <c r="H14" s="2">
        <v>1</v>
      </c>
      <c r="I14" s="2"/>
      <c r="J14" s="2"/>
      <c r="K14" s="19"/>
      <c r="L14" s="2"/>
      <c r="M14" s="29">
        <v>45240</v>
      </c>
      <c r="N14" s="11"/>
      <c r="O14" s="11"/>
      <c r="P14" s="7"/>
      <c r="Q14" s="17"/>
      <c r="R14" s="17"/>
      <c r="S14" s="28"/>
      <c r="T14" s="7">
        <v>1</v>
      </c>
      <c r="U14" s="28"/>
      <c r="V14" s="30"/>
      <c r="W14" s="2"/>
      <c r="X14" s="9">
        <v>44334</v>
      </c>
      <c r="Y14" s="18"/>
      <c r="Z14" s="39"/>
      <c r="AA14" s="18"/>
      <c r="AB14" s="2"/>
      <c r="AC14" s="5"/>
      <c r="AD14" s="5"/>
      <c r="AE14" s="2">
        <v>1</v>
      </c>
      <c r="AF14" s="2"/>
      <c r="AG14" s="43"/>
    </row>
    <row r="15" spans="1:33" ht="21.65" customHeight="1" x14ac:dyDescent="0.35">
      <c r="A15" s="2">
        <v>12</v>
      </c>
      <c r="B15" s="9">
        <v>44917</v>
      </c>
      <c r="C15" s="5"/>
      <c r="D15" s="5"/>
      <c r="E15" s="2">
        <v>1</v>
      </c>
      <c r="F15" s="2">
        <v>1</v>
      </c>
      <c r="G15" s="2">
        <v>1</v>
      </c>
      <c r="H15" s="2">
        <v>1</v>
      </c>
      <c r="I15" s="2"/>
      <c r="J15" s="2"/>
      <c r="K15" s="20"/>
      <c r="L15" s="2"/>
      <c r="M15" s="11">
        <v>45253</v>
      </c>
      <c r="N15" s="11"/>
      <c r="O15" s="11"/>
      <c r="P15" s="7"/>
      <c r="Q15" s="2"/>
      <c r="R15" s="2">
        <v>1</v>
      </c>
      <c r="S15" s="7"/>
      <c r="T15" s="7"/>
      <c r="U15" s="7"/>
      <c r="V15" s="31"/>
      <c r="W15" s="2"/>
      <c r="X15" s="9">
        <v>45065</v>
      </c>
      <c r="Y15" s="18"/>
      <c r="Z15" s="39"/>
      <c r="AA15" s="18"/>
      <c r="AB15" s="2"/>
      <c r="AC15" s="44"/>
      <c r="AD15" s="44" t="s">
        <v>73</v>
      </c>
      <c r="AE15" s="2"/>
      <c r="AF15" s="2"/>
      <c r="AG15" s="21" t="s">
        <v>72</v>
      </c>
    </row>
    <row r="16" spans="1:33" x14ac:dyDescent="0.35">
      <c r="A16" s="2">
        <v>13</v>
      </c>
      <c r="B16" s="9">
        <v>45277</v>
      </c>
      <c r="C16" s="5"/>
      <c r="D16" s="5"/>
      <c r="E16" s="2"/>
      <c r="F16" s="2"/>
      <c r="G16" s="2"/>
      <c r="H16" s="2"/>
      <c r="I16" s="2">
        <v>1</v>
      </c>
      <c r="J16" s="2"/>
      <c r="K16" s="18"/>
      <c r="L16" s="2"/>
      <c r="M16" s="11">
        <v>45295</v>
      </c>
      <c r="N16" s="11"/>
      <c r="O16" s="11"/>
      <c r="P16" s="7"/>
      <c r="Q16" s="2"/>
      <c r="R16" s="2">
        <v>1</v>
      </c>
      <c r="S16" s="7"/>
      <c r="T16" s="7"/>
      <c r="U16" s="7"/>
      <c r="V16" s="21"/>
      <c r="W16" s="2"/>
      <c r="X16" s="38">
        <v>45167</v>
      </c>
      <c r="Y16" s="18"/>
      <c r="Z16" s="39"/>
      <c r="AA16" s="18"/>
      <c r="AB16" s="18"/>
      <c r="AC16" s="18">
        <v>1</v>
      </c>
      <c r="AD16" s="3"/>
      <c r="AE16" s="2"/>
      <c r="AF16" s="18"/>
      <c r="AG16" s="21" t="s">
        <v>74</v>
      </c>
    </row>
    <row r="17" spans="1:33" x14ac:dyDescent="0.35">
      <c r="A17" s="2">
        <v>14</v>
      </c>
      <c r="B17" s="5"/>
      <c r="C17" s="5"/>
      <c r="D17" s="5"/>
      <c r="E17" s="2"/>
      <c r="F17" s="2"/>
      <c r="G17" s="2"/>
      <c r="H17" s="2"/>
      <c r="I17" s="2"/>
      <c r="J17" s="2"/>
      <c r="K17" s="19"/>
      <c r="L17" s="2"/>
      <c r="M17" s="11"/>
      <c r="N17" s="7"/>
      <c r="O17" s="11"/>
      <c r="P17" s="7"/>
      <c r="Q17" s="2"/>
      <c r="R17" s="2"/>
      <c r="S17" s="7"/>
      <c r="T17" s="7"/>
      <c r="U17" s="7"/>
      <c r="V17" s="47"/>
      <c r="W17" s="2"/>
      <c r="X17" s="38">
        <v>45181</v>
      </c>
      <c r="Y17" s="18"/>
      <c r="Z17" s="39"/>
      <c r="AA17" s="18"/>
      <c r="AB17" s="18"/>
      <c r="AC17" s="18">
        <v>1</v>
      </c>
      <c r="AD17" s="3"/>
      <c r="AE17" s="2"/>
      <c r="AF17" s="18"/>
      <c r="AG17" s="21" t="s">
        <v>74</v>
      </c>
    </row>
    <row r="18" spans="1:33" x14ac:dyDescent="0.35">
      <c r="A18" s="2">
        <v>15</v>
      </c>
      <c r="B18" s="5"/>
      <c r="C18" s="5"/>
      <c r="D18" s="5"/>
      <c r="E18" s="2"/>
      <c r="F18" s="2"/>
      <c r="G18" s="2"/>
      <c r="H18" s="2"/>
      <c r="I18" s="2"/>
      <c r="J18" s="2"/>
      <c r="K18" s="19"/>
      <c r="L18" s="2"/>
      <c r="M18" s="11"/>
      <c r="N18" s="11"/>
      <c r="O18" s="11"/>
      <c r="P18" s="7"/>
      <c r="Q18" s="2"/>
      <c r="R18" s="2"/>
      <c r="S18" s="7"/>
      <c r="T18" s="7"/>
      <c r="U18" s="7"/>
      <c r="V18" s="21"/>
      <c r="W18" s="2"/>
      <c r="X18" s="38">
        <v>45200</v>
      </c>
      <c r="Y18" s="18"/>
      <c r="Z18" s="39"/>
      <c r="AA18" s="18">
        <v>1</v>
      </c>
      <c r="AB18" s="18">
        <v>1</v>
      </c>
      <c r="AC18" s="18">
        <v>1</v>
      </c>
      <c r="AD18" s="18">
        <v>1</v>
      </c>
      <c r="AE18" s="2"/>
      <c r="AF18" s="18"/>
      <c r="AG18" s="21" t="s">
        <v>75</v>
      </c>
    </row>
    <row r="19" spans="1:33" x14ac:dyDescent="0.35">
      <c r="A19" s="2">
        <v>16</v>
      </c>
      <c r="B19" s="6"/>
      <c r="C19" s="6"/>
      <c r="D19" s="6"/>
      <c r="E19" s="7"/>
      <c r="F19" s="7"/>
      <c r="G19" s="7"/>
      <c r="H19" s="7"/>
      <c r="I19" s="7"/>
      <c r="J19" s="7"/>
      <c r="K19" s="7"/>
      <c r="L19" s="2"/>
      <c r="M19" s="11"/>
      <c r="N19" s="11"/>
      <c r="O19" s="11"/>
      <c r="P19" s="7"/>
      <c r="Q19" s="2"/>
      <c r="R19" s="2"/>
      <c r="S19" s="7"/>
      <c r="T19" s="7"/>
      <c r="U19" s="7"/>
      <c r="V19" s="21"/>
      <c r="W19" s="2"/>
      <c r="X19" s="38"/>
      <c r="Y19" s="18"/>
      <c r="Z19" s="39"/>
      <c r="AA19" s="18"/>
      <c r="AB19" s="18"/>
      <c r="AC19" s="3"/>
      <c r="AD19" s="3"/>
      <c r="AE19" s="2"/>
      <c r="AF19" s="18"/>
      <c r="AG19" s="21"/>
    </row>
    <row r="20" spans="1:33" x14ac:dyDescent="0.35">
      <c r="A20" s="2">
        <v>17</v>
      </c>
      <c r="B20" s="6"/>
      <c r="C20" s="6"/>
      <c r="D20" s="6"/>
      <c r="E20" s="7"/>
      <c r="F20" s="7"/>
      <c r="G20" s="7"/>
      <c r="H20" s="7"/>
      <c r="I20" s="7"/>
      <c r="J20" s="7"/>
      <c r="K20" s="7"/>
      <c r="L20" s="2"/>
      <c r="M20" s="11"/>
      <c r="N20" s="11"/>
      <c r="O20" s="11"/>
      <c r="P20" s="7"/>
      <c r="Q20" s="2"/>
      <c r="R20" s="2"/>
      <c r="S20" s="7"/>
      <c r="T20" s="7"/>
      <c r="U20" s="7"/>
      <c r="V20" s="21"/>
      <c r="W20" s="2"/>
      <c r="X20" s="38"/>
      <c r="Y20" s="18"/>
      <c r="Z20" s="39"/>
      <c r="AA20" s="18"/>
      <c r="AB20" s="18"/>
      <c r="AC20" s="3"/>
      <c r="AD20" s="3"/>
      <c r="AE20" s="2"/>
      <c r="AF20" s="18"/>
      <c r="AG20" s="21"/>
    </row>
    <row r="21" spans="1:33" x14ac:dyDescent="0.35">
      <c r="A21" s="2">
        <v>18</v>
      </c>
      <c r="B21" s="32"/>
      <c r="C21" s="32"/>
      <c r="D21" s="32"/>
      <c r="E21" s="28"/>
      <c r="F21" s="28"/>
      <c r="G21" s="28"/>
      <c r="H21" s="28"/>
      <c r="I21" s="28"/>
      <c r="J21" s="7"/>
      <c r="K21" s="20"/>
      <c r="L21" s="2"/>
      <c r="M21" s="11"/>
      <c r="N21" s="11"/>
      <c r="O21" s="11"/>
      <c r="P21" s="7"/>
      <c r="Q21" s="2"/>
      <c r="R21" s="2"/>
      <c r="S21" s="7"/>
      <c r="T21" s="7"/>
      <c r="U21" s="7"/>
      <c r="V21" s="21"/>
      <c r="W21" s="2"/>
      <c r="X21" s="38"/>
      <c r="Y21" s="18"/>
      <c r="Z21" s="39"/>
      <c r="AA21" s="18"/>
      <c r="AB21" s="18"/>
      <c r="AC21" s="3"/>
      <c r="AD21" s="3"/>
      <c r="AE21" s="2"/>
      <c r="AF21" s="18"/>
      <c r="AG21" s="21"/>
    </row>
    <row r="22" spans="1:33" x14ac:dyDescent="0.35">
      <c r="A22" s="2">
        <v>19</v>
      </c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2"/>
      <c r="M22" s="11"/>
      <c r="N22" s="11"/>
      <c r="O22" s="11"/>
      <c r="P22" s="7"/>
      <c r="Q22" s="2"/>
      <c r="R22" s="2"/>
      <c r="S22" s="7"/>
      <c r="T22" s="7"/>
      <c r="U22" s="7"/>
      <c r="V22" s="21"/>
      <c r="W22" s="2"/>
      <c r="X22" s="38"/>
      <c r="Y22" s="18"/>
      <c r="Z22" s="39"/>
      <c r="AA22" s="18"/>
      <c r="AB22" s="18"/>
      <c r="AC22" s="3"/>
      <c r="AD22" s="3"/>
      <c r="AE22" s="2"/>
      <c r="AF22" s="18"/>
      <c r="AG22" s="21"/>
    </row>
    <row r="23" spans="1:33" x14ac:dyDescent="0.35">
      <c r="A23" s="2">
        <v>20</v>
      </c>
      <c r="B23" s="32"/>
      <c r="C23" s="32"/>
      <c r="D23" s="32"/>
      <c r="E23" s="28"/>
      <c r="F23" s="28"/>
      <c r="G23" s="28"/>
      <c r="H23" s="28"/>
      <c r="I23" s="28"/>
      <c r="J23" s="7"/>
      <c r="K23" s="20"/>
      <c r="L23" s="2"/>
      <c r="M23" s="11"/>
      <c r="N23" s="11"/>
      <c r="O23" s="11"/>
      <c r="P23" s="7"/>
      <c r="Q23" s="2"/>
      <c r="R23" s="2"/>
      <c r="S23" s="7"/>
      <c r="T23" s="7"/>
      <c r="U23" s="7"/>
      <c r="V23" s="19"/>
      <c r="W23" s="2"/>
      <c r="X23" s="11"/>
      <c r="Y23" s="11"/>
      <c r="Z23" s="11"/>
      <c r="AA23" s="7"/>
      <c r="AB23" s="2"/>
      <c r="AC23" s="2"/>
      <c r="AD23" s="7"/>
      <c r="AE23" s="7"/>
      <c r="AF23" s="7"/>
      <c r="AG23" s="21"/>
    </row>
    <row r="24" spans="1:33" x14ac:dyDescent="0.35">
      <c r="A24" s="34"/>
      <c r="B24" s="32"/>
      <c r="W24" s="26"/>
    </row>
    <row r="25" spans="1:33" x14ac:dyDescent="0.35">
      <c r="L25" s="1"/>
      <c r="M25" s="10"/>
      <c r="N25" s="10"/>
      <c r="O25" s="10"/>
      <c r="P25" s="1"/>
      <c r="Q25" s="1"/>
      <c r="R25" s="1"/>
      <c r="S25" s="1"/>
      <c r="T25" s="1"/>
      <c r="U25" s="1"/>
      <c r="V25" s="1"/>
    </row>
    <row r="26" spans="1:33" x14ac:dyDescent="0.35">
      <c r="L26" s="1"/>
      <c r="M26" s="10"/>
      <c r="N26" s="10"/>
      <c r="O26" s="10"/>
      <c r="P26" s="1"/>
      <c r="Q26" s="1"/>
      <c r="R26" s="1"/>
      <c r="S26" s="1"/>
      <c r="T26" s="1"/>
      <c r="U26" s="1"/>
      <c r="V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5">
      <c r="L27" s="1"/>
      <c r="M27" s="10"/>
      <c r="N27" s="10"/>
      <c r="O27" s="10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x14ac:dyDescent="0.35">
      <c r="L28" s="1"/>
      <c r="M28" s="10"/>
      <c r="N28" s="10"/>
      <c r="O28" s="10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5">
      <c r="L29" s="1"/>
      <c r="M29" s="10"/>
      <c r="N29" s="10"/>
      <c r="O29" s="10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35">
      <c r="L30" s="1"/>
      <c r="M30" s="10"/>
      <c r="N30" s="10"/>
      <c r="O30" s="10"/>
      <c r="W30" s="1"/>
    </row>
    <row r="31" spans="1:33" x14ac:dyDescent="0.35">
      <c r="L31" s="1"/>
      <c r="M31" s="10"/>
      <c r="N31" s="10"/>
      <c r="O31" s="10"/>
    </row>
    <row r="32" spans="1:33" x14ac:dyDescent="0.35">
      <c r="L32" s="1"/>
      <c r="M32" s="10"/>
      <c r="N32" s="10"/>
      <c r="O32" s="10"/>
    </row>
    <row r="33" spans="12:15" x14ac:dyDescent="0.35">
      <c r="L33" s="1"/>
      <c r="M33" s="10"/>
      <c r="N33" s="10"/>
      <c r="O33" s="10"/>
    </row>
  </sheetData>
  <mergeCells count="24">
    <mergeCell ref="U3:U4"/>
    <mergeCell ref="E2:K2"/>
    <mergeCell ref="P2:V2"/>
    <mergeCell ref="AA2:AG2"/>
    <mergeCell ref="A3:A4"/>
    <mergeCell ref="B3:B4"/>
    <mergeCell ref="C3:C4"/>
    <mergeCell ref="D3:D4"/>
    <mergeCell ref="E3:I3"/>
    <mergeCell ref="J3:J4"/>
    <mergeCell ref="K3:K4"/>
    <mergeCell ref="L3:L4"/>
    <mergeCell ref="M3:M4"/>
    <mergeCell ref="N3:N4"/>
    <mergeCell ref="O3:O4"/>
    <mergeCell ref="P3:T3"/>
    <mergeCell ref="AF3:AF4"/>
    <mergeCell ref="AG3:AG4"/>
    <mergeCell ref="V3:V4"/>
    <mergeCell ref="W3:W4"/>
    <mergeCell ref="X3:X4"/>
    <mergeCell ref="Y3:Y4"/>
    <mergeCell ref="Z3:Z4"/>
    <mergeCell ref="AA3:AE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Secondary DMC 402,422,442</vt:lpstr>
      <vt:lpstr>Шүүсэн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Dulguuntamir.B</dc:creator>
  <cp:lastModifiedBy>Enkhzul Erdenezul</cp:lastModifiedBy>
  <dcterms:created xsi:type="dcterms:W3CDTF">2015-01-11T00:58:57Z</dcterms:created>
  <dcterms:modified xsi:type="dcterms:W3CDTF">2026-05-18T02:00:08Z</dcterms:modified>
</cp:coreProperties>
</file>