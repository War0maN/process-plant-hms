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CHNICAL SERVICES\10.0 PROCESS\18. Process_Equipment Inspection\01. PROCESS WORK ORDER INSPECTION FILE\33.014.04 DMC\"/>
    </mc:Choice>
  </mc:AlternateContent>
  <xr:revisionPtr revIDLastSave="0" documentId="13_ncr:1_{A8637CCE-3C0A-4E90-9B85-6D61E2FB1D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ion" sheetId="2" r:id="rId1"/>
    <sheet name="Primary DMC 401,421,441" sheetId="1" r:id="rId2"/>
    <sheet name="шүүсэн 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1" l="1"/>
  <c r="N34" i="1"/>
  <c r="X34" i="1"/>
  <c r="X33" i="1"/>
  <c r="X32" i="1"/>
  <c r="D32" i="1"/>
  <c r="D31" i="1"/>
  <c r="X30" i="1"/>
  <c r="X31" i="1"/>
  <c r="N33" i="1"/>
  <c r="D30" i="1"/>
  <c r="N32" i="1"/>
  <c r="X29" i="1"/>
  <c r="N31" i="1"/>
  <c r="D29" i="1" l="1"/>
  <c r="N30" i="1"/>
  <c r="D28" i="1"/>
  <c r="X28" i="1" l="1"/>
  <c r="N29" i="1"/>
  <c r="X21" i="1"/>
  <c r="X22" i="1"/>
  <c r="X23" i="1"/>
  <c r="X24" i="1"/>
  <c r="X25" i="1"/>
  <c r="X26" i="1"/>
  <c r="X27" i="1"/>
  <c r="X20" i="1"/>
  <c r="X19" i="1"/>
  <c r="D27" i="1" l="1"/>
  <c r="N28" i="1"/>
  <c r="D12" i="1"/>
  <c r="N7" i="1"/>
  <c r="N19" i="1"/>
  <c r="N22" i="1" l="1"/>
  <c r="N18" i="1"/>
  <c r="D23" i="1"/>
  <c r="D22" i="1"/>
  <c r="N24" i="1"/>
  <c r="N27" i="1"/>
  <c r="N25" i="1"/>
  <c r="D26" i="1"/>
  <c r="D24" i="1"/>
  <c r="D21" i="1"/>
  <c r="X18" i="1"/>
  <c r="D20" i="1" l="1"/>
  <c r="D19" i="1"/>
  <c r="D17" i="1"/>
  <c r="N23" i="1"/>
  <c r="N20" i="1"/>
  <c r="N21" i="1"/>
  <c r="N26" i="1"/>
  <c r="N17" i="1"/>
  <c r="N16" i="1"/>
  <c r="N15" i="1"/>
  <c r="N14" i="1"/>
  <c r="N13" i="1"/>
  <c r="AC27" i="3"/>
  <c r="AC28" i="3"/>
  <c r="C35" i="3" l="1"/>
  <c r="C34" i="3"/>
  <c r="D11" i="1"/>
  <c r="D16" i="1"/>
  <c r="AA6" i="3" l="1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5" i="3"/>
  <c r="C5" i="3"/>
  <c r="C6" i="3"/>
  <c r="C7" i="3"/>
  <c r="V37" i="3"/>
  <c r="G37" i="3"/>
  <c r="H37" i="3"/>
  <c r="I37" i="3"/>
  <c r="J37" i="3"/>
  <c r="R37" i="3"/>
  <c r="S37" i="3"/>
  <c r="T37" i="3"/>
  <c r="U37" i="3"/>
  <c r="Y37" i="3"/>
  <c r="AD37" i="3"/>
  <c r="AE37" i="3"/>
  <c r="AF37" i="3"/>
  <c r="AG37" i="3"/>
  <c r="AH37" i="3"/>
  <c r="D2" i="4"/>
  <c r="C22" i="4" l="1" a="1"/>
  <c r="C22" i="4" s="1"/>
  <c r="C12" i="4" a="1"/>
  <c r="C12" i="4" s="1"/>
  <c r="F37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8" i="3"/>
  <c r="AC24" i="3"/>
  <c r="AC26" i="3"/>
  <c r="AC25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Q24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5" i="3"/>
  <c r="Q26" i="3"/>
  <c r="Q29" i="3"/>
  <c r="Q30" i="3"/>
  <c r="Q31" i="3"/>
  <c r="Q32" i="3"/>
  <c r="Q33" i="3"/>
  <c r="Q34" i="3"/>
  <c r="Q9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14" i="3"/>
  <c r="C2" i="4" l="1"/>
  <c r="D13" i="1"/>
  <c r="D14" i="1"/>
  <c r="C3" i="2"/>
  <c r="X11" i="1" l="1"/>
  <c r="X10" i="1"/>
  <c r="X9" i="1"/>
  <c r="X8" i="1"/>
  <c r="X7" i="1"/>
  <c r="X6" i="1"/>
  <c r="X5" i="1"/>
  <c r="N11" i="1"/>
  <c r="N10" i="1"/>
  <c r="N9" i="1"/>
  <c r="N8" i="1"/>
  <c r="N6" i="1"/>
  <c r="N5" i="1"/>
  <c r="D6" i="1" l="1"/>
  <c r="D7" i="1"/>
  <c r="D8" i="1"/>
  <c r="D9" i="1"/>
  <c r="D10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tc={9F8C0BA7-159F-4255-8EA9-787AC97099C1}</author>
    <author>Turbileg Bud</author>
    <author>tc={1BB7B1FC-5DEA-4E00-B865-A7CCA5180BBB}</author>
    <author>tc={69CE5700-117D-4537-93A1-ED4F56C6846E}</author>
    <author>tc={2FB724D9-102F-4AA8-B5EB-02ECCD7C1717}</author>
    <author>tc={AF78FB0E-708C-47FB-8EE9-D3ECA87C14AC}</author>
    <author>Radnaased Purevsuren</author>
    <author>tc={65883A9E-7603-446F-8828-513F5DC6DC6F}</author>
    <author>tc={74E4A398-EDBA-4FDF-A0AB-8BD9993DD427}</author>
  </authors>
  <commentList>
    <comment ref="I22" authorId="0" shapeId="0" xr:uid="{9F8C0BA7-159F-4255-8EA9-787AC97099C1}">
      <text>
        <t>[Threaded comment]
Your version of Excel allows you to read this threaded comment; however, any edits to it will get removed if the file is opened in a newer version of Excel. Learn more: https://go.microsoft.com/fwlink/?linkid=870924
Comment:
    Хэмжилтийн утга оруулах</t>
      </text>
    </comment>
    <comment ref="Y22" authorId="1" shapeId="0" xr:uid="{D5B9E1D0-4E37-4E33-A445-9C6F5127B4DD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huuchin
</t>
        </r>
      </text>
    </comment>
    <comment ref="AB22" authorId="1" shapeId="0" xr:uid="{1AB0F8E4-6AEE-4C5A-90A0-DF78E5E2FA6D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mid cone, spigot шинээр сольсон</t>
        </r>
      </text>
    </comment>
    <comment ref="AD22" authorId="2" shapeId="0" xr:uid="{1BB7B1FC-5DEA-4E00-B865-A7CCA5180B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ирсний нэгийг нь суурьлуулсан. </t>
      </text>
    </comment>
    <comment ref="AB23" authorId="3" shapeId="0" xr:uid="{69CE5700-117D-4537-93A1-ED4F56C684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Хэмжилтийн утгаа оруулаарай. </t>
      </text>
    </comment>
    <comment ref="T24" authorId="4" shapeId="0" xr:uid="{2FB724D9-102F-4AA8-B5EB-02ECCD7C17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Spigot сэтэрсэн байсан.
Reply:
    Ni-Hard дээр шинэ плитатай хошуу хийсэн. </t>
      </text>
    </comment>
    <comment ref="T28" authorId="5" shapeId="0" xr:uid="{AF78FB0E-708C-47FB-8EE9-D3ECA87C14AC}">
      <text>
        <t>[Threaded comment]
Your version of Excel allows you to read this threaded comment; however, any edits to it will get removed if the file is opened in a newer version of Excel. Learn more: https://go.microsoft.com/fwlink/?linkid=870924
Comment:
    Хятдад захиалж хийлгэсэн. Плита доторлогоотой. Нийт 2 ирснийг сүүлийнхийг нь суурьлуулсан.</t>
      </text>
    </comment>
    <comment ref="AD28" authorId="6" shapeId="0" xr:uid="{9D01C654-8C94-47FD-B98A-F7F6B5D2631F}">
      <text>
        <r>
          <rPr>
            <b/>
            <sz val="9"/>
            <color indexed="81"/>
            <rFont val="Tahoma"/>
            <family val="2"/>
          </rPr>
          <t>Radnaased Purevsuren:</t>
        </r>
        <r>
          <rPr>
            <sz val="9"/>
            <color indexed="81"/>
            <rFont val="Tahoma"/>
            <family val="2"/>
          </rPr>
          <t xml:space="preserve">
Туршилтын Carbid доторлогоотой 2 ирснээс үлдсэн 1 -ийг тавьсан. Өмнөх түр тавьсан 1 ийг олохгүй байгаа</t>
        </r>
      </text>
    </comment>
    <comment ref="AD29" authorId="6" shapeId="0" xr:uid="{95E0863A-C9C1-4026-8D02-70808478160B}">
      <text>
        <r>
          <rPr>
            <b/>
            <sz val="9"/>
            <color indexed="81"/>
            <rFont val="Tahoma"/>
            <family val="2"/>
          </rPr>
          <t>Radnaased Purevsuren:</t>
        </r>
        <r>
          <rPr>
            <sz val="9"/>
            <color indexed="81"/>
            <rFont val="Tahoma"/>
            <family val="2"/>
          </rPr>
          <t xml:space="preserve">
Туршилтын Carbid доторлогоотой 2 ирснээс үлдсэн 1 -ийг тавьсан. Өмнөх түр тавьсан 1 ийг олохгүй байгаа</t>
        </r>
      </text>
    </comment>
    <comment ref="AD30" authorId="7" shapeId="0" xr:uid="{65883A9E-7603-446F-8828-513F5DC6DC6F}">
      <text>
        <t>[Threaded comment]
Your version of Excel allows you to read this threaded comment; however, any edits to it will get removed if the file is opened in a newer version of Excel. Learn more: https://go.microsoft.com/fwlink/?linkid=870924
Comment:
    Үйлдвэр хариуцаж байгаа инженерүүд төлөвлөгөөт зогсолтоор хийгдэж байгаа энэ мэтчилэн чухал ажлыг тухай бүрт нь оруулж байгаараа.</t>
      </text>
    </comment>
    <comment ref="AD31" authorId="8" shapeId="0" xr:uid="{74E4A398-EDBA-4FDF-A0AB-8BD9993D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Плита доторлогоотой дунд анги /Zibo Chenyi/ дээр карбид хошуу суурьлуулсан байна. Бага зэрэг центр алдалттай зөрүү бага байна.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Turbileg Bud</author>
  </authors>
  <commentList>
    <comment ref="B6" authorId="0" shapeId="0" xr:uid="{18D125C2-E812-4971-850B-B2FCC0395853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Shineer soliv</t>
        </r>
      </text>
    </comment>
    <comment ref="U6" authorId="0" shapeId="0" xr:uid="{DEDFBEF4-03E8-4D2E-B874-7A7ED490C152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huuchin hoshu sergeej hiisen
</t>
        </r>
      </text>
    </comment>
    <comment ref="B7" authorId="0" shapeId="0" xr:uid="{1F1DA93E-62FB-4A35-9149-E165113C7533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Cyclone solison</t>
        </r>
      </text>
    </comment>
    <comment ref="B14" authorId="0" shapeId="0" xr:uid="{1E6003F7-55F7-4486-96F2-16D1A2A81553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turshiltiin cyclone tavisan </t>
        </r>
      </text>
    </comment>
    <comment ref="V14" authorId="0" shapeId="0" xr:uid="{88EB4323-19AB-496F-9385-AE2F22CBF352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tushiltiin shroud</t>
        </r>
      </text>
    </comment>
    <comment ref="N16" authorId="0" shapeId="0" xr:uid="{B4F7984B-FA70-434D-9F62-C4271162A058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Nihard cyclone</t>
        </r>
      </text>
    </comment>
    <comment ref="N20" authorId="0" shapeId="0" xr:uid="{96F6A10A-37F4-4669-9C4A-CB9B94E9B20C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Sergeesen cyclone</t>
        </r>
      </text>
    </comment>
    <comment ref="N21" authorId="0" shapeId="0" xr:uid="{0456CE7B-C877-4B83-9631-F85CD7E0F4A7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nihard</t>
        </r>
      </text>
    </comment>
    <comment ref="B22" authorId="0" shapeId="0" xr:uid="{EC49842A-7040-4C35-89DC-27FD4FAD7361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Nihard</t>
        </r>
      </text>
    </comment>
    <comment ref="N23" authorId="0" shapeId="0" xr:uid="{8D697AFF-220E-4B49-BD2C-0B3580077A8A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Zasvarlasan cyclone</t>
        </r>
      </text>
    </comment>
    <comment ref="N24" authorId="0" shapeId="0" xr:uid="{491BEB4A-12B7-4BEC-B79E-7BE22DA0C2A2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sergeesen dund angi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<sst xmlns="http://schemas.openxmlformats.org/spreadsheetml/2006/main" count="238" uniqueCount="137">
  <si>
    <t>CY 401</t>
  </si>
  <si>
    <t>CY 421</t>
  </si>
  <si>
    <t>CY 441</t>
  </si>
  <si>
    <t>№</t>
  </si>
  <si>
    <t>Date</t>
  </si>
  <si>
    <t>Module 1 Totaliser</t>
  </si>
  <si>
    <t>Feed on Cyclone</t>
  </si>
  <si>
    <t>Inspection, Changes</t>
  </si>
  <si>
    <t>Work order number</t>
  </si>
  <si>
    <t>Comment</t>
  </si>
  <si>
    <t>Module 2 Totaliser</t>
  </si>
  <si>
    <t>Inspection, mm</t>
  </si>
  <si>
    <t>Inlet</t>
  </si>
  <si>
    <t>Vortex</t>
  </si>
  <si>
    <t>Nozzle</t>
  </si>
  <si>
    <t xml:space="preserve"> </t>
  </si>
  <si>
    <t>Changed the spigot</t>
  </si>
  <si>
    <t>Changed cyclone</t>
  </si>
  <si>
    <t>Changed spigot and cone</t>
  </si>
  <si>
    <t>Changed spigot and shroud</t>
  </si>
  <si>
    <t>CL421 tile was missing</t>
  </si>
  <si>
    <t>`</t>
  </si>
  <si>
    <t>Changed cyclone and shroud</t>
  </si>
  <si>
    <t>Хошуу сэтэрсэн, урсгал баригч цоорсон.</t>
  </si>
  <si>
    <t>Сэргээн засварласан циклон тавьж урсгал баригчыг солисон</t>
  </si>
  <si>
    <t xml:space="preserve">Date: </t>
  </si>
  <si>
    <t>Plant feed totalizer:</t>
  </si>
  <si>
    <t xml:space="preserve">Feed tonnage </t>
  </si>
  <si>
    <t>685/680</t>
  </si>
  <si>
    <t>540/530</t>
  </si>
  <si>
    <t>Shroud цоорсон, солихоор болсон. CL421-н дээд хэсэгт  плита унасан.</t>
  </si>
  <si>
    <t>Shroud шинийг тависан.</t>
  </si>
  <si>
    <t>575/565</t>
  </si>
  <si>
    <t>хошуу элэгдэлтэй. Shroud 670/680</t>
  </si>
  <si>
    <t>Module 3 Totaliser</t>
  </si>
  <si>
    <t>536/531</t>
  </si>
  <si>
    <t>677/672</t>
  </si>
  <si>
    <t xml:space="preserve">Shroud </t>
  </si>
  <si>
    <t>755/740</t>
  </si>
  <si>
    <t xml:space="preserve">shroud-ны плита унасан. </t>
  </si>
  <si>
    <t>760/675</t>
  </si>
  <si>
    <t>675</t>
  </si>
  <si>
    <t>CL441-н тааз цоорсон</t>
  </si>
  <si>
    <t>Shroud элэгдэлтэй</t>
  </si>
  <si>
    <t>Shroud солисон.</t>
  </si>
  <si>
    <t>705/705</t>
  </si>
  <si>
    <t>Changed shroud</t>
  </si>
  <si>
    <t>760/670</t>
  </si>
  <si>
    <t>590/560</t>
  </si>
  <si>
    <t>650/676</t>
  </si>
  <si>
    <t>549/558</t>
  </si>
  <si>
    <t>shroud</t>
  </si>
  <si>
    <t>Middle part</t>
  </si>
  <si>
    <t>Spigot</t>
  </si>
  <si>
    <t>Shroud</t>
  </si>
  <si>
    <t>1</t>
  </si>
  <si>
    <t>CY421-ээс дээж авсан дунд ангиар сольсон</t>
  </si>
  <si>
    <t>Хуучин циклоны их сэргээж сольсон</t>
  </si>
  <si>
    <t>Засварласан дунд ангиар сольсон</t>
  </si>
  <si>
    <t>Сэргээн засварласан shroud</t>
  </si>
  <si>
    <t>Шинэ</t>
  </si>
  <si>
    <t>Тэжээл орох хэсгийн дээд анги шинээр сольсон</t>
  </si>
  <si>
    <t>Nihard сэргээж засварласан циклоноор сольсон</t>
  </si>
  <si>
    <t>Сэргээн засварласан хуучин циклон</t>
  </si>
  <si>
    <t>Сэргээн засварласан дунд ангиар солив</t>
  </si>
  <si>
    <t>Сэргээн засварласан spigot@shroud сольсон</t>
  </si>
  <si>
    <t>Nihard cyclone-оор сольсон</t>
  </si>
  <si>
    <t>New Nihard циклоноор сольсон</t>
  </si>
  <si>
    <t>Сэргээн засварласан циклоноор сольсон</t>
  </si>
  <si>
    <t>CY401</t>
  </si>
  <si>
    <t>total</t>
  </si>
  <si>
    <t>680/675</t>
  </si>
  <si>
    <t>565/575</t>
  </si>
  <si>
    <t>Spigot цоорсон, солихоор болсон.Их бие пилта ихээр унасан</t>
  </si>
  <si>
    <t>CY401 сэргээн засварласан циклоноор сольж,spigot сэргээн засварлах
Дунд анги болон хошуу, шроуд сольж тавьсан.</t>
  </si>
  <si>
    <t>12./15/2023</t>
  </si>
  <si>
    <t>596/560</t>
  </si>
  <si>
    <t>Доод конусын плита унасан, 
цоорсон. Сольсон.</t>
  </si>
  <si>
    <t>Сэргээн засварласан хошуу</t>
  </si>
  <si>
    <t>Хэвийн</t>
  </si>
  <si>
    <t>Шинэ Ni-Hard циклоноор солисон.</t>
  </si>
  <si>
    <t>Шинэ Ni-hard Cyclone
 сольж тавьсан</t>
  </si>
  <si>
    <t>Сэргээн засварласнаар сольсон.</t>
  </si>
  <si>
    <t>675/678</t>
  </si>
  <si>
    <t>550/545</t>
  </si>
  <si>
    <t>702/681</t>
  </si>
  <si>
    <t>560/565</t>
  </si>
  <si>
    <t>Shroud, spigot элэгдсэн</t>
  </si>
  <si>
    <t>670/695</t>
  </si>
  <si>
    <t>560/550</t>
  </si>
  <si>
    <t>shroud цоорсон, элэгдэлтэй</t>
  </si>
  <si>
    <t>683/703</t>
  </si>
  <si>
    <t>575/560</t>
  </si>
  <si>
    <t>Шроуд цоорсон. Солих. Spigot, их бие элэгдэлтэй</t>
  </si>
  <si>
    <t>mid cone, spigot шинээр сольсон. /Нийлүүлэгч - Zibo Chenyi Advanced Materials Co.ltd/</t>
  </si>
  <si>
    <t xml:space="preserve"> New Spigot солисон.</t>
  </si>
  <si>
    <t>Shroud, New spigot солисон.</t>
  </si>
  <si>
    <t xml:space="preserve">Хэмжилтээр циклоны их бие нилээн элэгдэлтэй. Их бие хошуу 2-н холбоос хэсэгт ихдээ 10 мм зөрүү үүссэн байна. </t>
  </si>
  <si>
    <t>Хэмжилт хийсэн хэвийн байна.</t>
  </si>
  <si>
    <t>675/680</t>
  </si>
  <si>
    <t>675/681</t>
  </si>
  <si>
    <t>548/554</t>
  </si>
  <si>
    <t>Хэмжилтээр циклоны хошуу болон доод cone хэсэг элэгдэлтэй. Shroud -дээр 1ш пилта наах</t>
  </si>
  <si>
    <t>535/545</t>
  </si>
  <si>
    <t>New spigot солисон.</t>
  </si>
  <si>
    <t>680/678</t>
  </si>
  <si>
    <t>Хэмжилтээр циклоны хошуу болон доод cone хэсэг элэгдэл ихтэй байгаа тул шинээр солих. Shroud дээр Плита унасан.</t>
  </si>
  <si>
    <t>760/685</t>
  </si>
  <si>
    <t>600/555</t>
  </si>
  <si>
    <t>775/680</t>
  </si>
  <si>
    <t>600/540</t>
  </si>
  <si>
    <t>780/675</t>
  </si>
  <si>
    <t>Шинэ Ni-Hard циклоноор солисон. Комоороо солигдсон.</t>
  </si>
  <si>
    <t>Spigot бага зэрэг элэгдсэн. CL402 хананы пилта унасан.</t>
  </si>
  <si>
    <t>Хэвийн, spigot baga зэрэг элэгдэлтэй, их бих low cone залгаас зөрүү бага, CL441 хананы пилта унасан</t>
  </si>
  <si>
    <t>Хэвийн, spigot baga зэрэг элэгдэлтэй. Шроуд цоорсон солих шаардлагатай</t>
  </si>
  <si>
    <t xml:space="preserve">Шроуд цоорсон. </t>
  </si>
  <si>
    <t>535-540</t>
  </si>
  <si>
    <t>Хуучин Inlet дээр шинэ карбид доторлогоотой midcone, spigot, shroud (shroud нь карбид биш)сольсон.</t>
  </si>
  <si>
    <t>Spigot дунд зэрэг элэгдэлтэй. Шроуд плита элэгдэлтэй цоорч эхэлж байгаа. Солих</t>
  </si>
  <si>
    <t>545-550</t>
  </si>
  <si>
    <t>677-685</t>
  </si>
  <si>
    <t>Хэмжилт хийсэн хэвийн</t>
  </si>
  <si>
    <t>CY421 хэвийн</t>
  </si>
  <si>
    <t>CY441 шинэ</t>
  </si>
  <si>
    <t>Шинэ Ni-hard Cyclone
 сольж тавьсан. Мөн шроуд сольсон.</t>
  </si>
  <si>
    <t>Үзлэгээр хэвийн байна.</t>
  </si>
  <si>
    <t xml:space="preserve">Хошуу бага зэргийн элэгдэлтэй. Эх бие хэвийн. </t>
  </si>
  <si>
    <t xml:space="preserve">Үзлэгээр хэвийн байна. </t>
  </si>
  <si>
    <t>CY441 дунд анги цоорч доторлогоо унасан. Шинэ  плита доторлогоотой /Zibo Chenyi/ дунд анги сольсон. Фланец зөрсөнг боолтны нүхэнд слот хийж боосон. Дотор талаас нь залгаанд wear resist түрхсэн</t>
  </si>
  <si>
    <t>Хошуу элэгдсэн солих болсон.</t>
  </si>
  <si>
    <t>Сольсон. Ni-Hard</t>
  </si>
  <si>
    <t>CY441 солив.</t>
  </si>
  <si>
    <t>CY441зогсолтоор элэгдэлтэй. Ovewrflow хэсгийн шалны плита унаж цооролт үүссэн</t>
  </si>
  <si>
    <t>CY441зогсолтоор элэгдэлтэй, shroud цоорсныг сольсон</t>
  </si>
  <si>
    <t>Сэргээн засварласан циклоноор сольсон.</t>
  </si>
  <si>
    <t>Сэргээн засварласан циклонийн Ni-Hard циклоноор сольсон.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</si>
</sst>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sz val="11"/>
      <name val="Times New Roman"/>
      <family val="1"/>
    </font>
    <font>
      <sz val="10"/>
      <name val="Arial"/>
      <family val="2"/>
    </font>
    <font>
      <b/>
      <u/>
      <sz val="14"/>
      <color indexed="18"/>
      <name val="Times New Roman"/>
      <family val="1"/>
    </font>
    <font>
      <sz val="12"/>
      <color theme="1"/>
      <name val="Times New Roman"/>
      <family val="2"/>
    </font>
    <font>
      <sz val="9"/>
      <color rgb="FF3C3C3C"/>
      <name val="Tahoma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1" fillId="0" borderId="0"/>
    <xf numFmtId="0" fontId="11" fillId="0" borderId="0"/>
    <xf numFmtId="0" fontId="8" fillId="0" borderId="0"/>
    <xf numFmtId="0" fontId="1" fillId="0" borderId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/>
  </cellStyleXfs>
  <cellXfs count="9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/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12" fillId="0" borderId="1" xfId="0" applyFont="1" applyBorder="1"/>
    <xf numFmtId="164" fontId="2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/>
    <xf numFmtId="0" fontId="2" fillId="0" borderId="1" xfId="0" applyFont="1" applyBorder="1" applyAlignment="1">
      <alignment horizontal="right"/>
    </xf>
    <xf numFmtId="164" fontId="3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41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2" fontId="2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7" xfId="0" applyFont="1" applyBorder="1"/>
    <xf numFmtId="0" fontId="12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1">
    <cellStyle name="Comma 2" xfId="2" xr:uid="{00000000-0005-0000-0000-000000000000}"/>
    <cellStyle name="Comma 3" xfId="1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2 2 2" xfId="5" xr:uid="{00000000-0005-0000-0000-000005000000}"/>
    <cellStyle name="Normal 2 2 3" xfId="6" xr:uid="{00000000-0005-0000-0000-000006000000}"/>
    <cellStyle name="Normal 3" xfId="7" xr:uid="{00000000-0005-0000-0000-000007000000}"/>
    <cellStyle name="Percent 2" xfId="8" xr:uid="{00000000-0005-0000-0000-000008000000}"/>
    <cellStyle name="Percent 2 2" xfId="9" xr:uid="{00000000-0005-0000-0000-000009000000}"/>
    <cellStyle name="Title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tkhishig Oyut" id="{6AF95C14-0B6C-47FB-B5AC-3244794AC059}" userId="S::batkhishig.oyu@mmc.mn::2fa0e3c6-3f5a-4c95-9e68-62b9c345080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2" dT="2024-08-10T03:01:34.88" personId="{6AF95C14-0B6C-47FB-B5AC-3244794AC059}" id="{9F8C0BA7-159F-4255-8EA9-787AC97099C1}">
    <text>Хэмжилтийн утга оруулах</text>
  </threadedComment>
  <threadedComment ref="AD22" dT="2024-08-10T02:52:51.75" personId="{6AF95C14-0B6C-47FB-B5AC-3244794AC059}" id="{1BB7B1FC-5DEA-4E00-B865-A7CCA5180BBB}">
    <text xml:space="preserve">2 ирсний нэгийг нь суурьлуулсан. </text>
  </threadedComment>
  <threadedComment ref="AB23" dT="2024-08-10T03:06:06.89" personId="{6AF95C14-0B6C-47FB-B5AC-3244794AC059}" id="{69CE5700-117D-4537-93A1-ED4F56C6846E}">
    <text xml:space="preserve">Хэмжилтийн утгаа оруулаарай. </text>
  </threadedComment>
  <threadedComment ref="T24" dT="2024-08-10T02:51:07.20" personId="{6AF95C14-0B6C-47FB-B5AC-3244794AC059}" id="{2FB724D9-102F-4AA8-B5EB-02ECCD7C1717}">
    <text>Spigot сэтэрсэн байсан.</text>
  </threadedComment>
  <threadedComment ref="T24" dT="2024-08-10T03:15:27.56" personId="{6AF95C14-0B6C-47FB-B5AC-3244794AC059}" id="{8F0EE975-2CB2-48A6-A138-1A65E5676218}" parentId="{2FB724D9-102F-4AA8-B5EB-02ECCD7C1717}">
    <text xml:space="preserve">Ni-Hard дээр шинэ плитатай хошуу хийсэн. </text>
  </threadedComment>
  <threadedComment ref="T28" dT="2024-12-15T01:13:05.90" personId="{6AF95C14-0B6C-47FB-B5AC-3244794AC059}" id="{AF78FB0E-708C-47FB-8EE9-D3ECA87C14AC}">
    <text>Хятдад захиалж хийлгэсэн. Плита доторлогоотой. Нийт 2 ирснийг сүүлийнхийг нь суурьлуулсан.</text>
  </threadedComment>
  <threadedComment ref="AD30" dT="2025-09-27T06:32:52.12" personId="{6AF95C14-0B6C-47FB-B5AC-3244794AC059}" id="{65883A9E-7603-446F-8828-513F5DC6DC6F}">
    <text>Үйлдвэр хариуцаж байгаа инженерүүд төлөвлөгөөт зогсолтоор хийгдэж байгаа энэ мэтчилэн чухал ажлыг тухай бүрт нь оруулж байгаараа.</text>
  </threadedComment>
  <threadedComment ref="AD31" dT="2025-09-25T03:34:27.29" personId="{6AF95C14-0B6C-47FB-B5AC-3244794AC059}" id="{74E4A398-EDBA-4FDF-A0AB-8BD9993DD427}">
    <text>Плита доторлогоотой дунд анги /Zibo Chenyi/ дээр карбид хошуу суурьлуулсан байна. Бага зэрэг центр алдалттай зөрүү бага байна.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I6" sqref="I6"/>
    </sheetView>
  </sheetViews>
  <sheetFormatPr defaultRowHeight="14.4" x14ac:dyDescent="0.3"/>
  <cols>
    <col min="1" max="1" width="9.6640625" customWidth="1"/>
    <col min="2" max="2" width="17" bestFit="1" customWidth="1"/>
    <col min="3" max="3" width="12.44140625" bestFit="1" customWidth="1"/>
  </cols>
  <sheetData>
    <row r="1" spans="1:3" x14ac:dyDescent="0.3">
      <c r="A1" t="s">
        <v>25</v>
      </c>
      <c r="B1" t="s">
        <v>26</v>
      </c>
      <c r="C1" t="s">
        <v>27</v>
      </c>
    </row>
    <row r="3" spans="1:3" x14ac:dyDescent="0.3">
      <c r="C3">
        <f>B3-B2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74"/>
  <sheetViews>
    <sheetView tabSelected="1" zoomScale="85" zoomScaleNormal="85" workbookViewId="0">
      <pane xSplit="1" ySplit="4" topLeftCell="F32" activePane="bottomRight" state="frozen"/>
      <selection pane="topRight" activeCell="B1" sqref="B1"/>
      <selection pane="bottomLeft" activeCell="A5" sqref="A5"/>
      <selection pane="bottomRight" activeCell="T39" sqref="T39"/>
    </sheetView>
  </sheetViews>
  <sheetFormatPr defaultRowHeight="14.4" x14ac:dyDescent="0.3"/>
  <cols>
    <col min="1" max="1" width="3" bestFit="1" customWidth="1"/>
    <col min="2" max="2" width="9.44140625" customWidth="1"/>
    <col min="3" max="3" width="12.6640625" customWidth="1"/>
    <col min="4" max="4" width="12.33203125" customWidth="1"/>
    <col min="7" max="8" width="17" customWidth="1"/>
    <col min="9" max="9" width="10.44140625" customWidth="1"/>
    <col min="10" max="10" width="28.6640625" bestFit="1" customWidth="1"/>
    <col min="11" max="11" width="3" bestFit="1" customWidth="1"/>
    <col min="12" max="12" width="9.44140625" customWidth="1"/>
    <col min="13" max="13" width="16.6640625" bestFit="1" customWidth="1"/>
    <col min="14" max="14" width="14.44140625" customWidth="1"/>
    <col min="17" max="17" width="9.6640625" bestFit="1" customWidth="1"/>
    <col min="18" max="18" width="17" customWidth="1"/>
    <col min="19" max="19" width="10.44140625" customWidth="1"/>
    <col min="20" max="20" width="23.6640625" customWidth="1"/>
    <col min="21" max="21" width="3" bestFit="1" customWidth="1"/>
    <col min="22" max="22" width="9.44140625" customWidth="1"/>
    <col min="23" max="23" width="9.33203125" customWidth="1"/>
    <col min="24" max="24" width="15.33203125" bestFit="1" customWidth="1"/>
    <col min="27" max="27" width="9.6640625" bestFit="1" customWidth="1"/>
    <col min="28" max="28" width="17" customWidth="1"/>
    <col min="29" max="29" width="11" customWidth="1"/>
    <col min="30" max="30" width="27.33203125" bestFit="1" customWidth="1"/>
  </cols>
  <sheetData>
    <row r="2" spans="1:30" x14ac:dyDescent="0.3">
      <c r="A2" s="14"/>
      <c r="B2" s="15"/>
      <c r="C2" s="13"/>
      <c r="D2" s="13"/>
      <c r="E2" s="70" t="s">
        <v>0</v>
      </c>
      <c r="F2" s="71"/>
      <c r="G2" s="71"/>
      <c r="H2" s="71"/>
      <c r="I2" s="71"/>
      <c r="J2" s="72"/>
      <c r="K2" s="7"/>
      <c r="L2" s="18"/>
      <c r="M2" s="16"/>
      <c r="N2" s="16"/>
      <c r="O2" s="46" t="s">
        <v>1</v>
      </c>
      <c r="P2" s="47"/>
      <c r="Q2" s="47"/>
      <c r="R2" s="47"/>
      <c r="S2" s="47"/>
      <c r="T2" s="48"/>
      <c r="U2" s="7"/>
      <c r="V2" s="18"/>
      <c r="W2" s="16"/>
      <c r="X2" s="16"/>
      <c r="Y2" s="49" t="s">
        <v>2</v>
      </c>
      <c r="Z2" s="50"/>
      <c r="AA2" s="50"/>
      <c r="AB2" s="50"/>
      <c r="AC2" s="50"/>
      <c r="AD2" s="51"/>
    </row>
    <row r="3" spans="1:30" x14ac:dyDescent="0.3">
      <c r="A3" s="52" t="s">
        <v>3</v>
      </c>
      <c r="B3" s="53" t="s">
        <v>4</v>
      </c>
      <c r="C3" s="54" t="s">
        <v>5</v>
      </c>
      <c r="D3" s="54" t="s">
        <v>6</v>
      </c>
      <c r="E3" s="75" t="s">
        <v>7</v>
      </c>
      <c r="F3" s="75"/>
      <c r="G3" s="75"/>
      <c r="H3" s="75"/>
      <c r="I3" s="73" t="s">
        <v>8</v>
      </c>
      <c r="J3" s="68" t="s">
        <v>9</v>
      </c>
      <c r="K3" s="52" t="s">
        <v>3</v>
      </c>
      <c r="L3" s="53" t="s">
        <v>4</v>
      </c>
      <c r="M3" s="54" t="s">
        <v>10</v>
      </c>
      <c r="N3" s="54" t="s">
        <v>6</v>
      </c>
      <c r="O3" s="56" t="s">
        <v>11</v>
      </c>
      <c r="P3" s="57"/>
      <c r="Q3" s="57"/>
      <c r="R3" s="58"/>
      <c r="S3" s="59" t="s">
        <v>8</v>
      </c>
      <c r="T3" s="61" t="s">
        <v>9</v>
      </c>
      <c r="U3" s="52" t="s">
        <v>3</v>
      </c>
      <c r="V3" s="53" t="s">
        <v>4</v>
      </c>
      <c r="W3" s="54" t="s">
        <v>34</v>
      </c>
      <c r="X3" s="54" t="s">
        <v>6</v>
      </c>
      <c r="Y3" s="65" t="s">
        <v>11</v>
      </c>
      <c r="Z3" s="66"/>
      <c r="AA3" s="66"/>
      <c r="AB3" s="67"/>
      <c r="AC3" s="63" t="s">
        <v>8</v>
      </c>
      <c r="AD3" s="44" t="s">
        <v>9</v>
      </c>
    </row>
    <row r="4" spans="1:30" x14ac:dyDescent="0.3">
      <c r="A4" s="52"/>
      <c r="B4" s="53"/>
      <c r="C4" s="55"/>
      <c r="D4" s="55"/>
      <c r="E4" s="20" t="s">
        <v>12</v>
      </c>
      <c r="F4" s="20" t="s">
        <v>13</v>
      </c>
      <c r="G4" s="20" t="s">
        <v>14</v>
      </c>
      <c r="H4" s="20" t="s">
        <v>54</v>
      </c>
      <c r="I4" s="74"/>
      <c r="J4" s="69"/>
      <c r="K4" s="52"/>
      <c r="L4" s="53"/>
      <c r="M4" s="55"/>
      <c r="N4" s="55"/>
      <c r="O4" s="25" t="s">
        <v>12</v>
      </c>
      <c r="P4" s="25" t="s">
        <v>54</v>
      </c>
      <c r="Q4" s="25" t="s">
        <v>13</v>
      </c>
      <c r="R4" s="25" t="s">
        <v>14</v>
      </c>
      <c r="S4" s="60"/>
      <c r="T4" s="62"/>
      <c r="U4" s="52"/>
      <c r="V4" s="53"/>
      <c r="W4" s="55"/>
      <c r="X4" s="55"/>
      <c r="Y4" s="26" t="s">
        <v>12</v>
      </c>
      <c r="Z4" s="26" t="s">
        <v>37</v>
      </c>
      <c r="AA4" s="26" t="s">
        <v>13</v>
      </c>
      <c r="AB4" s="26" t="s">
        <v>14</v>
      </c>
      <c r="AC4" s="64"/>
      <c r="AD4" s="45"/>
    </row>
    <row r="5" spans="1:30" x14ac:dyDescent="0.3">
      <c r="A5" s="2">
        <v>1</v>
      </c>
      <c r="B5" s="12">
        <v>41097</v>
      </c>
      <c r="C5" s="24">
        <v>4704156</v>
      </c>
      <c r="D5" s="24">
        <f>C5*0.717</f>
        <v>3372879.852</v>
      </c>
      <c r="E5" s="11"/>
      <c r="F5" s="11" t="s">
        <v>15</v>
      </c>
      <c r="G5" s="5"/>
      <c r="H5" s="5"/>
      <c r="I5" s="5"/>
      <c r="J5" s="2" t="s">
        <v>16</v>
      </c>
      <c r="K5" s="2">
        <v>1</v>
      </c>
      <c r="L5" s="23">
        <v>41097</v>
      </c>
      <c r="M5" s="1"/>
      <c r="N5" s="24">
        <f t="shared" ref="N5:N26" si="0">M5*0.717</f>
        <v>0</v>
      </c>
      <c r="O5" s="11"/>
      <c r="P5" s="11"/>
      <c r="Q5" s="11"/>
      <c r="R5" s="5"/>
      <c r="S5" s="5"/>
      <c r="T5" s="2" t="s">
        <v>16</v>
      </c>
      <c r="U5" s="2">
        <v>1</v>
      </c>
      <c r="V5" s="10"/>
      <c r="W5" s="1"/>
      <c r="X5" s="24">
        <f>W5*0.717</f>
        <v>0</v>
      </c>
      <c r="Y5" s="11"/>
      <c r="Z5" s="11"/>
      <c r="AA5" s="11"/>
      <c r="AB5" s="5"/>
      <c r="AC5" s="5"/>
      <c r="AD5" s="11"/>
    </row>
    <row r="6" spans="1:30" x14ac:dyDescent="0.3">
      <c r="A6" s="2">
        <v>2</v>
      </c>
      <c r="B6" s="12">
        <v>41370</v>
      </c>
      <c r="C6" s="24">
        <v>8366425</v>
      </c>
      <c r="D6" s="24">
        <f t="shared" ref="D6:D14" si="1">C6*0.717</f>
        <v>5998726.7249999996</v>
      </c>
      <c r="E6" s="2"/>
      <c r="F6" s="2"/>
      <c r="G6" s="2"/>
      <c r="H6" s="2"/>
      <c r="I6" s="2"/>
      <c r="J6" s="2" t="s">
        <v>16</v>
      </c>
      <c r="K6" s="2">
        <v>2</v>
      </c>
      <c r="L6" s="23">
        <v>41246</v>
      </c>
      <c r="M6" s="17"/>
      <c r="N6" s="24">
        <f t="shared" si="0"/>
        <v>0</v>
      </c>
      <c r="O6" s="2"/>
      <c r="P6" s="2"/>
      <c r="Q6" s="2"/>
      <c r="R6" s="2"/>
      <c r="S6" s="2"/>
      <c r="T6" s="2" t="s">
        <v>16</v>
      </c>
      <c r="U6" s="2">
        <v>2</v>
      </c>
      <c r="V6" s="19"/>
      <c r="W6" s="17"/>
      <c r="X6" s="24">
        <f t="shared" ref="X6:X11" si="2">W6*0.717</f>
        <v>0</v>
      </c>
      <c r="Y6" s="2"/>
      <c r="Z6" s="2"/>
      <c r="AA6" s="2"/>
      <c r="AB6" s="2"/>
      <c r="AC6" s="2"/>
      <c r="AD6" s="1"/>
    </row>
    <row r="7" spans="1:30" x14ac:dyDescent="0.3">
      <c r="A7" s="2">
        <v>3</v>
      </c>
      <c r="B7" s="12">
        <v>41430</v>
      </c>
      <c r="C7" s="24">
        <v>9013831</v>
      </c>
      <c r="D7" s="24">
        <f t="shared" si="1"/>
        <v>6462916.8269999996</v>
      </c>
      <c r="E7" s="2"/>
      <c r="F7" s="2"/>
      <c r="G7" s="2"/>
      <c r="H7" s="2"/>
      <c r="I7" s="2"/>
      <c r="J7" s="2" t="s">
        <v>16</v>
      </c>
      <c r="K7" s="2">
        <v>3</v>
      </c>
      <c r="L7" s="12">
        <v>41447</v>
      </c>
      <c r="M7" s="2"/>
      <c r="N7" s="24">
        <f>M7*0.717</f>
        <v>0</v>
      </c>
      <c r="O7" s="2"/>
      <c r="P7" s="2"/>
      <c r="Q7" s="2"/>
      <c r="R7" s="2"/>
      <c r="S7" s="2"/>
      <c r="T7" s="2" t="s">
        <v>16</v>
      </c>
      <c r="U7" s="2">
        <v>3</v>
      </c>
      <c r="V7" s="12"/>
      <c r="W7" s="2"/>
      <c r="X7" s="24">
        <f t="shared" si="2"/>
        <v>0</v>
      </c>
      <c r="Y7" s="2"/>
      <c r="Z7" s="2"/>
      <c r="AA7" s="2"/>
      <c r="AB7" s="2"/>
      <c r="AC7" s="2"/>
      <c r="AD7" s="2"/>
    </row>
    <row r="8" spans="1:30" x14ac:dyDescent="0.3">
      <c r="A8" s="2">
        <v>4</v>
      </c>
      <c r="B8" s="12">
        <v>41626</v>
      </c>
      <c r="C8" s="24">
        <v>11946133</v>
      </c>
      <c r="D8" s="24">
        <f t="shared" si="1"/>
        <v>8565377.3609999996</v>
      </c>
      <c r="E8" s="2"/>
      <c r="F8" s="2"/>
      <c r="G8" s="2"/>
      <c r="H8" s="2"/>
      <c r="I8" s="2"/>
      <c r="J8" s="2" t="s">
        <v>16</v>
      </c>
      <c r="K8" s="2">
        <v>4</v>
      </c>
      <c r="L8" s="12">
        <v>41459</v>
      </c>
      <c r="M8" s="2"/>
      <c r="N8" s="24">
        <f t="shared" si="0"/>
        <v>0</v>
      </c>
      <c r="O8" s="1"/>
      <c r="P8" s="1"/>
      <c r="Q8" s="1"/>
      <c r="R8" s="2"/>
      <c r="S8" s="1"/>
      <c r="T8" s="22" t="s">
        <v>18</v>
      </c>
      <c r="U8" s="2">
        <v>4</v>
      </c>
      <c r="V8" s="12"/>
      <c r="W8" s="2"/>
      <c r="X8" s="24">
        <f t="shared" si="2"/>
        <v>0</v>
      </c>
      <c r="Y8" s="1"/>
      <c r="Z8" s="1"/>
      <c r="AA8" s="1"/>
      <c r="AB8" s="2"/>
      <c r="AC8" s="1"/>
      <c r="AD8" s="8"/>
    </row>
    <row r="9" spans="1:30" x14ac:dyDescent="0.3">
      <c r="A9" s="2">
        <v>5</v>
      </c>
      <c r="B9" s="12">
        <v>41733</v>
      </c>
      <c r="C9" s="24">
        <v>12595842</v>
      </c>
      <c r="D9" s="24">
        <f t="shared" si="1"/>
        <v>9031218.7139999997</v>
      </c>
      <c r="E9" s="2"/>
      <c r="F9" s="2"/>
      <c r="G9" s="2"/>
      <c r="H9" s="2"/>
      <c r="I9" s="2"/>
      <c r="J9" s="2" t="s">
        <v>16</v>
      </c>
      <c r="K9" s="2">
        <v>5</v>
      </c>
      <c r="L9" s="12">
        <v>41500</v>
      </c>
      <c r="M9" s="2"/>
      <c r="N9" s="24">
        <f t="shared" si="0"/>
        <v>0</v>
      </c>
      <c r="O9" s="2"/>
      <c r="P9" s="2"/>
      <c r="Q9" s="2"/>
      <c r="R9" s="6"/>
      <c r="S9" s="2"/>
      <c r="T9" s="21" t="s">
        <v>17</v>
      </c>
      <c r="U9" s="2">
        <v>5</v>
      </c>
      <c r="V9" s="12"/>
      <c r="W9" s="2"/>
      <c r="X9" s="24">
        <f t="shared" si="2"/>
        <v>0</v>
      </c>
      <c r="Y9" s="2"/>
      <c r="Z9" s="2"/>
      <c r="AA9" s="2"/>
      <c r="AB9" s="6"/>
      <c r="AC9" s="2"/>
      <c r="AD9" s="1"/>
    </row>
    <row r="10" spans="1:30" x14ac:dyDescent="0.3">
      <c r="A10" s="2">
        <v>6</v>
      </c>
      <c r="B10" s="12">
        <v>41802</v>
      </c>
      <c r="C10" s="24">
        <v>13427688</v>
      </c>
      <c r="D10" s="24">
        <f t="shared" si="1"/>
        <v>9627652.2960000001</v>
      </c>
      <c r="E10" s="2"/>
      <c r="F10" s="2"/>
      <c r="G10" s="2"/>
      <c r="H10" s="2"/>
      <c r="I10" s="2"/>
      <c r="J10" s="2" t="s">
        <v>16</v>
      </c>
      <c r="K10" s="2">
        <v>6</v>
      </c>
      <c r="L10" s="12">
        <v>41502</v>
      </c>
      <c r="M10" s="2"/>
      <c r="N10" s="24">
        <f t="shared" si="0"/>
        <v>0</v>
      </c>
      <c r="O10" s="2"/>
      <c r="P10" s="2"/>
      <c r="Q10" s="2"/>
      <c r="R10" s="6"/>
      <c r="S10" s="2"/>
      <c r="T10" s="21" t="s">
        <v>17</v>
      </c>
      <c r="U10" s="2">
        <v>6</v>
      </c>
      <c r="V10" s="12"/>
      <c r="W10" s="2"/>
      <c r="X10" s="24">
        <f t="shared" si="2"/>
        <v>0</v>
      </c>
      <c r="Y10" s="2"/>
      <c r="Z10" s="2"/>
      <c r="AA10" s="2"/>
      <c r="AB10" s="6"/>
      <c r="AC10" s="2"/>
      <c r="AD10" s="1"/>
    </row>
    <row r="11" spans="1:30" x14ac:dyDescent="0.3">
      <c r="A11" s="2">
        <v>7</v>
      </c>
      <c r="B11" s="12">
        <v>41935</v>
      </c>
      <c r="C11" s="24">
        <v>14017403</v>
      </c>
      <c r="D11" s="24">
        <f>C11*0.717</f>
        <v>10050477.950999999</v>
      </c>
      <c r="E11" s="2"/>
      <c r="F11" s="2"/>
      <c r="G11" s="2"/>
      <c r="H11" s="2"/>
      <c r="I11" s="2"/>
      <c r="J11" s="2" t="s">
        <v>16</v>
      </c>
      <c r="K11" s="2">
        <v>7</v>
      </c>
      <c r="L11" s="23">
        <v>41718</v>
      </c>
      <c r="M11" s="1"/>
      <c r="N11" s="24">
        <f t="shared" si="0"/>
        <v>0</v>
      </c>
      <c r="O11" s="1"/>
      <c r="P11" s="1"/>
      <c r="Q11" s="3"/>
      <c r="R11" s="2"/>
      <c r="S11" s="1"/>
      <c r="T11" s="21" t="s">
        <v>19</v>
      </c>
      <c r="U11" s="2">
        <v>7</v>
      </c>
      <c r="V11" s="10"/>
      <c r="W11" s="1"/>
      <c r="X11" s="24">
        <f t="shared" si="2"/>
        <v>0</v>
      </c>
      <c r="Y11" s="1"/>
      <c r="Z11" s="1"/>
      <c r="AA11" s="3"/>
      <c r="AB11" s="2"/>
      <c r="AC11" s="1"/>
      <c r="AD11" s="9"/>
    </row>
    <row r="12" spans="1:30" x14ac:dyDescent="0.3">
      <c r="A12" s="2">
        <v>8</v>
      </c>
      <c r="B12" s="12">
        <v>43084</v>
      </c>
      <c r="C12" s="24">
        <v>18821546</v>
      </c>
      <c r="D12" s="24">
        <f>C12*0.717</f>
        <v>13495048.481999999</v>
      </c>
      <c r="E12" s="2"/>
      <c r="F12" s="2">
        <v>680</v>
      </c>
      <c r="G12" s="2" t="s">
        <v>32</v>
      </c>
      <c r="H12" s="2"/>
      <c r="I12" s="2">
        <v>33458</v>
      </c>
      <c r="J12" s="29" t="s">
        <v>33</v>
      </c>
      <c r="K12" s="2">
        <v>8</v>
      </c>
      <c r="L12" s="23">
        <v>42105</v>
      </c>
      <c r="M12" s="1"/>
      <c r="N12" s="24">
        <v>0</v>
      </c>
      <c r="O12" s="1"/>
      <c r="P12" s="1"/>
      <c r="Q12" s="28">
        <v>681</v>
      </c>
      <c r="R12" s="2">
        <v>555</v>
      </c>
      <c r="S12" s="1"/>
      <c r="T12" s="21" t="s">
        <v>20</v>
      </c>
      <c r="U12" s="2">
        <v>8</v>
      </c>
      <c r="V12" s="12">
        <v>42105</v>
      </c>
      <c r="W12" s="1"/>
      <c r="X12" s="24"/>
      <c r="Y12" s="1"/>
      <c r="Z12" s="1"/>
      <c r="AA12" s="3"/>
      <c r="AB12" s="2"/>
      <c r="AC12" s="1"/>
      <c r="AD12" s="9"/>
    </row>
    <row r="13" spans="1:30" ht="28.2" x14ac:dyDescent="0.3">
      <c r="A13" s="2">
        <v>9</v>
      </c>
      <c r="B13" s="12">
        <v>44723</v>
      </c>
      <c r="C13" s="24">
        <v>28199700</v>
      </c>
      <c r="D13" s="24">
        <f t="shared" si="1"/>
        <v>20219184.899999999</v>
      </c>
      <c r="E13" s="2"/>
      <c r="F13" s="2"/>
      <c r="G13" s="2">
        <v>555</v>
      </c>
      <c r="H13" s="2"/>
      <c r="I13" s="2"/>
      <c r="J13" s="2" t="s">
        <v>43</v>
      </c>
      <c r="K13" s="2">
        <v>9</v>
      </c>
      <c r="L13" s="23">
        <v>43016</v>
      </c>
      <c r="M13" s="1"/>
      <c r="N13" s="24">
        <f t="shared" si="0"/>
        <v>0</v>
      </c>
      <c r="O13" s="1"/>
      <c r="P13" s="1"/>
      <c r="Q13" s="3"/>
      <c r="R13" s="2"/>
      <c r="S13" s="1"/>
      <c r="T13" s="27" t="s">
        <v>23</v>
      </c>
      <c r="U13" s="2">
        <v>8</v>
      </c>
      <c r="V13" s="12">
        <v>43016</v>
      </c>
      <c r="W13" s="1"/>
      <c r="X13" s="24"/>
      <c r="Y13" s="1"/>
      <c r="Z13" s="1"/>
      <c r="AA13" s="3"/>
      <c r="AB13" s="2"/>
      <c r="AC13" s="1"/>
      <c r="AD13" s="31" t="s">
        <v>22</v>
      </c>
    </row>
    <row r="14" spans="1:30" ht="42" x14ac:dyDescent="0.3">
      <c r="A14" s="2">
        <v>10</v>
      </c>
      <c r="B14" s="12">
        <v>44913</v>
      </c>
      <c r="C14" s="24">
        <v>30095376</v>
      </c>
      <c r="D14" s="24">
        <f t="shared" si="1"/>
        <v>21578384.592</v>
      </c>
      <c r="E14" s="2"/>
      <c r="F14" s="2"/>
      <c r="G14" s="2"/>
      <c r="H14" s="2"/>
      <c r="I14" s="2">
        <v>118526</v>
      </c>
      <c r="J14" s="2" t="s">
        <v>44</v>
      </c>
      <c r="K14" s="2"/>
      <c r="L14" s="23">
        <v>43021</v>
      </c>
      <c r="M14" s="1"/>
      <c r="N14" s="24">
        <f t="shared" si="0"/>
        <v>0</v>
      </c>
      <c r="O14" s="1"/>
      <c r="P14" s="1"/>
      <c r="Q14" s="3"/>
      <c r="R14" s="2"/>
      <c r="S14" s="1"/>
      <c r="T14" s="22" t="s">
        <v>24</v>
      </c>
      <c r="U14" s="2"/>
      <c r="V14" s="12">
        <v>43084</v>
      </c>
      <c r="W14" s="1"/>
      <c r="X14" s="24"/>
      <c r="Y14" s="1"/>
      <c r="Z14" s="2" t="s">
        <v>38</v>
      </c>
      <c r="AA14" s="30" t="s">
        <v>36</v>
      </c>
      <c r="AB14" s="2" t="s">
        <v>35</v>
      </c>
      <c r="AC14" s="2">
        <v>32551</v>
      </c>
      <c r="AD14" s="32" t="s">
        <v>39</v>
      </c>
    </row>
    <row r="15" spans="1:30" ht="42" x14ac:dyDescent="0.3">
      <c r="A15" s="2">
        <v>11</v>
      </c>
      <c r="B15" s="34">
        <v>45017</v>
      </c>
      <c r="C15" s="24"/>
      <c r="D15" s="24"/>
      <c r="E15" s="2"/>
      <c r="F15" s="2" t="s">
        <v>47</v>
      </c>
      <c r="G15" s="2" t="s">
        <v>48</v>
      </c>
      <c r="H15" s="2"/>
      <c r="I15" s="2"/>
      <c r="J15" s="2"/>
      <c r="K15" s="2"/>
      <c r="L15" s="23">
        <v>43067</v>
      </c>
      <c r="M15" s="1"/>
      <c r="N15" s="24">
        <f t="shared" si="0"/>
        <v>0</v>
      </c>
      <c r="O15" s="1"/>
      <c r="P15" s="1"/>
      <c r="Q15" s="3" t="s">
        <v>28</v>
      </c>
      <c r="R15" s="2" t="s">
        <v>29</v>
      </c>
      <c r="S15" s="1">
        <v>32545</v>
      </c>
      <c r="T15" s="22" t="s">
        <v>30</v>
      </c>
      <c r="U15" s="2"/>
      <c r="V15" s="12">
        <v>44844</v>
      </c>
      <c r="W15" s="1"/>
      <c r="X15" s="24"/>
      <c r="Y15" s="1"/>
      <c r="Z15" s="2" t="s">
        <v>40</v>
      </c>
      <c r="AA15" s="33" t="s">
        <v>41</v>
      </c>
      <c r="AB15" s="2"/>
      <c r="AC15" s="2">
        <v>114118</v>
      </c>
      <c r="AD15" s="9" t="s">
        <v>42</v>
      </c>
    </row>
    <row r="16" spans="1:30" ht="69" x14ac:dyDescent="0.3">
      <c r="A16" s="2">
        <v>12</v>
      </c>
      <c r="B16" s="12">
        <v>45263</v>
      </c>
      <c r="C16" s="24">
        <v>34593324</v>
      </c>
      <c r="D16" s="24">
        <f>C16-C14</f>
        <v>4497948</v>
      </c>
      <c r="E16" s="2"/>
      <c r="F16" s="2"/>
      <c r="G16" s="2"/>
      <c r="H16" s="2"/>
      <c r="I16" s="2"/>
      <c r="J16" s="29" t="s">
        <v>74</v>
      </c>
      <c r="K16" s="2"/>
      <c r="L16" s="23">
        <v>43068</v>
      </c>
      <c r="M16" s="1"/>
      <c r="N16" s="24">
        <f t="shared" si="0"/>
        <v>0</v>
      </c>
      <c r="O16" s="1"/>
      <c r="P16" s="1"/>
      <c r="Q16" s="3"/>
      <c r="R16" s="2"/>
      <c r="S16" s="1"/>
      <c r="T16" s="21" t="s">
        <v>31</v>
      </c>
      <c r="U16" s="2"/>
      <c r="V16" s="10"/>
      <c r="W16" s="1"/>
      <c r="X16" s="24"/>
      <c r="Y16" s="1"/>
      <c r="Z16" s="1"/>
      <c r="AA16" s="3"/>
      <c r="AB16" s="2"/>
      <c r="AC16" s="1"/>
      <c r="AD16" s="9"/>
    </row>
    <row r="17" spans="1:30" ht="34.950000000000003" customHeight="1" x14ac:dyDescent="0.3">
      <c r="A17" s="2">
        <v>13</v>
      </c>
      <c r="B17" s="12" t="s">
        <v>75</v>
      </c>
      <c r="C17" s="24">
        <v>34753584</v>
      </c>
      <c r="D17" s="24">
        <f>C17-C16</f>
        <v>160260</v>
      </c>
      <c r="E17" s="2"/>
      <c r="F17" s="2">
        <v>677</v>
      </c>
      <c r="G17" s="2" t="s">
        <v>76</v>
      </c>
      <c r="H17" s="2"/>
      <c r="I17" s="2">
        <v>138318</v>
      </c>
      <c r="J17" s="37" t="s">
        <v>77</v>
      </c>
      <c r="K17" s="2"/>
      <c r="L17" s="23">
        <v>45001</v>
      </c>
      <c r="M17" s="1"/>
      <c r="N17" s="24">
        <f t="shared" si="0"/>
        <v>0</v>
      </c>
      <c r="O17" s="1"/>
      <c r="P17" s="1"/>
      <c r="Q17" s="3" t="s">
        <v>45</v>
      </c>
      <c r="R17" s="2" t="s">
        <v>32</v>
      </c>
      <c r="S17" s="1">
        <v>122388</v>
      </c>
      <c r="T17" s="21" t="s">
        <v>46</v>
      </c>
      <c r="U17" s="2"/>
      <c r="V17" s="10">
        <v>45004</v>
      </c>
      <c r="W17" s="1"/>
      <c r="X17" s="24"/>
      <c r="Y17" s="1"/>
      <c r="Z17" s="1"/>
      <c r="AA17" s="3"/>
      <c r="AB17" s="2"/>
      <c r="AC17" s="1"/>
      <c r="AD17" s="9"/>
    </row>
    <row r="18" spans="1:30" x14ac:dyDescent="0.3">
      <c r="A18" s="2">
        <v>14</v>
      </c>
      <c r="B18" s="12">
        <v>44930</v>
      </c>
      <c r="C18" s="24"/>
      <c r="D18" s="24"/>
      <c r="E18" s="2"/>
      <c r="F18" s="2"/>
      <c r="G18" s="2"/>
      <c r="H18" s="2"/>
      <c r="I18" s="2"/>
      <c r="J18" s="2"/>
      <c r="K18" s="2"/>
      <c r="L18" s="23">
        <v>45046</v>
      </c>
      <c r="M18" s="1"/>
      <c r="N18" s="24">
        <f>M18*0.717</f>
        <v>0</v>
      </c>
      <c r="O18" s="1"/>
      <c r="P18" s="1"/>
      <c r="Q18" s="3"/>
      <c r="R18" s="2"/>
      <c r="S18" s="1">
        <v>126656</v>
      </c>
      <c r="T18" s="21" t="s">
        <v>16</v>
      </c>
      <c r="U18" s="2"/>
      <c r="V18" s="10">
        <v>45049</v>
      </c>
      <c r="W18" s="1"/>
      <c r="X18" s="24">
        <f>+W19-W18</f>
        <v>23351898</v>
      </c>
      <c r="Y18" s="1"/>
      <c r="Z18" s="1"/>
      <c r="AA18" s="3"/>
      <c r="AB18" s="2"/>
      <c r="AC18" s="1">
        <v>126749</v>
      </c>
      <c r="AD18" s="9" t="s">
        <v>16</v>
      </c>
    </row>
    <row r="19" spans="1:30" x14ac:dyDescent="0.3">
      <c r="A19" s="2">
        <v>15</v>
      </c>
      <c r="B19" s="12">
        <v>45337</v>
      </c>
      <c r="C19" s="24">
        <v>35500504</v>
      </c>
      <c r="D19" s="24">
        <f>C19-C17</f>
        <v>746920</v>
      </c>
      <c r="E19" s="2"/>
      <c r="F19" s="2"/>
      <c r="G19" s="2"/>
      <c r="H19" s="2"/>
      <c r="I19" s="2"/>
      <c r="J19" s="14" t="s">
        <v>80</v>
      </c>
      <c r="K19" s="2"/>
      <c r="L19" s="23">
        <v>45170</v>
      </c>
      <c r="M19" s="1">
        <v>29131226</v>
      </c>
      <c r="N19" s="24">
        <f>M19*0.717</f>
        <v>20887089.041999999</v>
      </c>
      <c r="O19" s="1"/>
      <c r="P19" s="1"/>
      <c r="Q19" s="3" t="s">
        <v>49</v>
      </c>
      <c r="R19" s="2" t="s">
        <v>50</v>
      </c>
      <c r="S19" s="1">
        <v>132572</v>
      </c>
      <c r="T19" s="21" t="s">
        <v>16</v>
      </c>
      <c r="U19" s="2"/>
      <c r="V19" s="10">
        <v>45172</v>
      </c>
      <c r="W19" s="1">
        <v>23351898</v>
      </c>
      <c r="X19" s="24">
        <f>+W20-W19</f>
        <v>2495866</v>
      </c>
      <c r="Y19" s="1"/>
      <c r="Z19" s="1"/>
      <c r="AA19" s="3"/>
      <c r="AB19" s="2"/>
      <c r="AC19" s="1"/>
      <c r="AD19" s="9" t="s">
        <v>82</v>
      </c>
    </row>
    <row r="20" spans="1:30" ht="42" x14ac:dyDescent="0.3">
      <c r="A20" s="2">
        <v>16</v>
      </c>
      <c r="B20" s="12">
        <v>45456</v>
      </c>
      <c r="C20" s="24">
        <v>37267504</v>
      </c>
      <c r="D20" s="24">
        <f>C20-C19</f>
        <v>1767000</v>
      </c>
      <c r="E20" s="2"/>
      <c r="F20" s="2" t="s">
        <v>91</v>
      </c>
      <c r="G20" s="2" t="s">
        <v>92</v>
      </c>
      <c r="H20" s="2"/>
      <c r="I20" s="2">
        <v>148126</v>
      </c>
      <c r="J20" s="29" t="s">
        <v>93</v>
      </c>
      <c r="K20" s="2"/>
      <c r="L20" s="23">
        <v>45262</v>
      </c>
      <c r="M20" s="1">
        <v>30321564</v>
      </c>
      <c r="N20" s="24">
        <f>M20*0.717</f>
        <v>21740561.388</v>
      </c>
      <c r="O20" s="1"/>
      <c r="P20" s="1"/>
      <c r="Q20" s="3" t="s">
        <v>71</v>
      </c>
      <c r="R20" s="2" t="s">
        <v>72</v>
      </c>
      <c r="T20" s="22" t="s">
        <v>73</v>
      </c>
      <c r="U20" s="2"/>
      <c r="V20" s="10">
        <v>45365</v>
      </c>
      <c r="W20" s="1">
        <v>25847764</v>
      </c>
      <c r="X20" s="24">
        <f>+W20-W19</f>
        <v>2495866</v>
      </c>
      <c r="Y20" s="1"/>
      <c r="Z20" s="1" t="s">
        <v>83</v>
      </c>
      <c r="AA20" s="1">
        <v>680</v>
      </c>
      <c r="AB20" s="2" t="s">
        <v>84</v>
      </c>
      <c r="AC20" s="1">
        <v>143203</v>
      </c>
      <c r="AD20" s="9" t="s">
        <v>79</v>
      </c>
    </row>
    <row r="21" spans="1:30" x14ac:dyDescent="0.3">
      <c r="A21" s="2">
        <v>17</v>
      </c>
      <c r="B21" s="41">
        <v>45477</v>
      </c>
      <c r="C21" s="24">
        <v>37607716</v>
      </c>
      <c r="D21" s="24">
        <f>C21-C19</f>
        <v>2107212</v>
      </c>
      <c r="E21" s="2"/>
      <c r="F21" s="40"/>
      <c r="G21" s="40"/>
      <c r="H21" s="40"/>
      <c r="I21" s="40"/>
      <c r="J21" s="29" t="s">
        <v>95</v>
      </c>
      <c r="K21" s="2"/>
      <c r="L21" s="23">
        <v>45337</v>
      </c>
      <c r="M21" s="1">
        <v>30321564</v>
      </c>
      <c r="N21" s="24">
        <f>M21*0.717</f>
        <v>21740561.388</v>
      </c>
      <c r="O21" s="1"/>
      <c r="P21" s="1"/>
      <c r="Q21" s="1">
        <v>680</v>
      </c>
      <c r="R21" s="2">
        <v>540</v>
      </c>
      <c r="S21" s="38">
        <v>142033</v>
      </c>
      <c r="T21" s="22" t="s">
        <v>79</v>
      </c>
      <c r="U21" s="2"/>
      <c r="V21" s="10">
        <v>45456</v>
      </c>
      <c r="W21" s="1">
        <v>27163106</v>
      </c>
      <c r="X21" s="24">
        <f t="shared" ref="X21:X27" si="3">+W21-W20</f>
        <v>1315342</v>
      </c>
      <c r="Y21" s="1"/>
      <c r="Z21" s="1" t="s">
        <v>88</v>
      </c>
      <c r="AA21" s="1">
        <v>681</v>
      </c>
      <c r="AB21" s="2" t="s">
        <v>89</v>
      </c>
      <c r="AC21" s="1">
        <v>148234</v>
      </c>
      <c r="AD21" s="9" t="s">
        <v>90</v>
      </c>
    </row>
    <row r="22" spans="1:30" ht="55.2" x14ac:dyDescent="0.3">
      <c r="A22" s="2">
        <v>18</v>
      </c>
      <c r="B22" s="41">
        <v>45512</v>
      </c>
      <c r="C22" s="24">
        <v>38069932</v>
      </c>
      <c r="D22" s="24">
        <f>C22-C21</f>
        <v>462216</v>
      </c>
      <c r="E22" s="2"/>
      <c r="F22" s="5" t="s">
        <v>99</v>
      </c>
      <c r="G22" s="5">
        <v>541</v>
      </c>
      <c r="H22" s="5"/>
      <c r="I22" s="40"/>
      <c r="J22" s="29" t="s">
        <v>97</v>
      </c>
      <c r="K22" s="2"/>
      <c r="L22" s="23">
        <v>45345</v>
      </c>
      <c r="M22" s="24">
        <v>31266014</v>
      </c>
      <c r="N22" s="24">
        <f>M22*0.717</f>
        <v>22417732.037999999</v>
      </c>
      <c r="O22" s="1"/>
      <c r="P22" s="1"/>
      <c r="Q22" s="3"/>
      <c r="R22" s="2"/>
      <c r="S22" s="1"/>
      <c r="T22" s="22" t="s">
        <v>81</v>
      </c>
      <c r="U22" s="2"/>
      <c r="V22" s="12">
        <v>45486</v>
      </c>
      <c r="W22" s="2">
        <v>27577032</v>
      </c>
      <c r="X22" s="24">
        <f t="shared" si="3"/>
        <v>413926</v>
      </c>
      <c r="Y22" s="1"/>
      <c r="Z22" s="1"/>
      <c r="AA22" s="3"/>
      <c r="AB22" s="2">
        <v>533</v>
      </c>
      <c r="AC22" s="1"/>
      <c r="AD22" s="42" t="s">
        <v>94</v>
      </c>
    </row>
    <row r="23" spans="1:30" ht="41.4" x14ac:dyDescent="0.3">
      <c r="A23" s="2">
        <v>19</v>
      </c>
      <c r="B23" s="41">
        <v>45540</v>
      </c>
      <c r="C23" s="24">
        <v>38487668</v>
      </c>
      <c r="D23" s="24">
        <f>C23-C22</f>
        <v>417736</v>
      </c>
      <c r="E23" s="2"/>
      <c r="F23" s="5" t="s">
        <v>100</v>
      </c>
      <c r="G23" s="5" t="s">
        <v>101</v>
      </c>
      <c r="H23" s="5"/>
      <c r="I23" s="2">
        <v>152404</v>
      </c>
      <c r="J23" s="29" t="s">
        <v>102</v>
      </c>
      <c r="K23" s="2"/>
      <c r="L23" s="23">
        <v>45441</v>
      </c>
      <c r="M23" s="1">
        <v>32696244</v>
      </c>
      <c r="N23" s="24">
        <f>(M23-M22)*0.717</f>
        <v>1025474.9099999999</v>
      </c>
      <c r="O23" s="1"/>
      <c r="P23" s="1"/>
      <c r="Q23" s="30" t="s">
        <v>85</v>
      </c>
      <c r="R23" s="2" t="s">
        <v>86</v>
      </c>
      <c r="S23" s="1">
        <v>147522</v>
      </c>
      <c r="T23" s="21" t="s">
        <v>87</v>
      </c>
      <c r="U23" s="2"/>
      <c r="V23" s="10">
        <v>45512</v>
      </c>
      <c r="W23" s="1">
        <v>27947312</v>
      </c>
      <c r="X23" s="24">
        <f t="shared" si="3"/>
        <v>370280</v>
      </c>
      <c r="Y23" s="1"/>
      <c r="Z23" s="1">
        <v>678</v>
      </c>
      <c r="AA23" s="1">
        <v>676</v>
      </c>
      <c r="AB23" s="2">
        <v>536</v>
      </c>
      <c r="AC23" s="1"/>
      <c r="AD23" s="39" t="s">
        <v>98</v>
      </c>
    </row>
    <row r="24" spans="1:30" ht="55.2" x14ac:dyDescent="0.3">
      <c r="A24" s="2">
        <v>20</v>
      </c>
      <c r="B24" s="41">
        <v>45568</v>
      </c>
      <c r="C24" s="24">
        <v>38827156</v>
      </c>
      <c r="D24" s="24">
        <f>C24-C23</f>
        <v>339488</v>
      </c>
      <c r="E24" s="2"/>
      <c r="F24" s="5" t="s">
        <v>105</v>
      </c>
      <c r="G24" s="5">
        <v>560</v>
      </c>
      <c r="H24" s="5"/>
      <c r="I24" s="2">
        <v>154596</v>
      </c>
      <c r="J24" s="29" t="s">
        <v>106</v>
      </c>
      <c r="K24" s="2"/>
      <c r="L24" s="23">
        <v>45513</v>
      </c>
      <c r="M24" s="1">
        <v>33704324</v>
      </c>
      <c r="N24" s="24">
        <f>(M24-M22)*0.717</f>
        <v>1748268.27</v>
      </c>
      <c r="O24" s="1"/>
      <c r="P24" s="1"/>
      <c r="Q24" s="3"/>
      <c r="R24" s="2"/>
      <c r="S24" s="1"/>
      <c r="T24" s="21" t="s">
        <v>96</v>
      </c>
      <c r="U24" s="2"/>
      <c r="V24" s="10">
        <v>45540</v>
      </c>
      <c r="W24" s="1">
        <v>28349720</v>
      </c>
      <c r="X24" s="24">
        <f t="shared" si="3"/>
        <v>402408</v>
      </c>
      <c r="Y24" s="1"/>
      <c r="Z24" s="1">
        <v>678</v>
      </c>
      <c r="AA24" s="1">
        <v>677</v>
      </c>
      <c r="AB24" s="2" t="s">
        <v>103</v>
      </c>
      <c r="AC24" s="1"/>
      <c r="AD24" s="39" t="s">
        <v>98</v>
      </c>
    </row>
    <row r="25" spans="1:30" x14ac:dyDescent="0.3">
      <c r="A25" s="2">
        <v>21</v>
      </c>
      <c r="B25" s="12">
        <v>45576</v>
      </c>
      <c r="C25" s="24"/>
      <c r="D25" s="24"/>
      <c r="E25" s="2"/>
      <c r="F25" s="2" t="s">
        <v>107</v>
      </c>
      <c r="G25" s="2" t="s">
        <v>108</v>
      </c>
      <c r="H25" s="2">
        <v>675</v>
      </c>
      <c r="I25" s="2"/>
      <c r="J25" s="2"/>
      <c r="K25" s="2"/>
      <c r="L25" s="23">
        <v>45539</v>
      </c>
      <c r="M25" s="1">
        <v>34025752</v>
      </c>
      <c r="N25" s="24">
        <f>(M25-M23)*0.717</f>
        <v>953257.23599999992</v>
      </c>
      <c r="O25" s="1"/>
      <c r="P25" s="1"/>
      <c r="Q25" s="3"/>
      <c r="R25" s="2"/>
      <c r="S25" s="1"/>
      <c r="T25" s="21" t="s">
        <v>104</v>
      </c>
      <c r="U25" s="2"/>
      <c r="V25" s="10">
        <v>45576</v>
      </c>
      <c r="W25" s="1">
        <v>28926536</v>
      </c>
      <c r="X25" s="24">
        <f t="shared" si="3"/>
        <v>576816</v>
      </c>
      <c r="Y25" s="1"/>
      <c r="Z25" s="1" t="s">
        <v>111</v>
      </c>
      <c r="AA25" s="3" t="s">
        <v>109</v>
      </c>
      <c r="AB25" s="2" t="s">
        <v>110</v>
      </c>
      <c r="AC25" s="1"/>
      <c r="AD25" s="9" t="s">
        <v>79</v>
      </c>
    </row>
    <row r="26" spans="1:30" ht="46.8" x14ac:dyDescent="0.3">
      <c r="A26" s="2">
        <v>22</v>
      </c>
      <c r="B26" s="12">
        <v>45582</v>
      </c>
      <c r="C26" s="24">
        <v>39030856</v>
      </c>
      <c r="D26" s="24">
        <f>C26-C24</f>
        <v>203700</v>
      </c>
      <c r="E26" s="2"/>
      <c r="F26" s="2"/>
      <c r="G26" s="2"/>
      <c r="H26" s="2"/>
      <c r="I26" s="2"/>
      <c r="J26" s="43" t="s">
        <v>112</v>
      </c>
      <c r="K26" s="2"/>
      <c r="L26" s="23">
        <v>45576</v>
      </c>
      <c r="M26" s="1"/>
      <c r="N26" s="24">
        <f t="shared" si="0"/>
        <v>0</v>
      </c>
      <c r="O26" s="1"/>
      <c r="P26" s="1"/>
      <c r="Q26" s="3"/>
      <c r="R26" s="2"/>
      <c r="S26" s="1"/>
      <c r="T26" s="21"/>
      <c r="U26" s="2"/>
      <c r="V26" s="12">
        <v>45666</v>
      </c>
      <c r="W26" s="1">
        <v>30196682</v>
      </c>
      <c r="X26" s="24">
        <f t="shared" si="3"/>
        <v>1270146</v>
      </c>
      <c r="Y26" s="1"/>
      <c r="Z26" s="1">
        <v>680</v>
      </c>
      <c r="AA26" s="1">
        <v>680</v>
      </c>
      <c r="AB26" s="2">
        <v>548</v>
      </c>
      <c r="AC26" s="1"/>
      <c r="AD26" s="39" t="s">
        <v>114</v>
      </c>
    </row>
    <row r="27" spans="1:30" ht="55.8" x14ac:dyDescent="0.3">
      <c r="A27" s="2">
        <v>23</v>
      </c>
      <c r="B27" s="12">
        <v>45666</v>
      </c>
      <c r="C27" s="2">
        <v>40048868</v>
      </c>
      <c r="D27" s="24">
        <f>C27-C26</f>
        <v>1018012</v>
      </c>
      <c r="E27" s="2"/>
      <c r="F27" s="2">
        <v>672</v>
      </c>
      <c r="G27" s="2">
        <v>552</v>
      </c>
      <c r="H27" s="2">
        <v>670</v>
      </c>
      <c r="I27" s="2"/>
      <c r="J27" s="29" t="s">
        <v>113</v>
      </c>
      <c r="K27" s="2"/>
      <c r="L27" s="23">
        <v>45617</v>
      </c>
      <c r="M27" s="1">
        <v>35045488</v>
      </c>
      <c r="N27" s="24">
        <f>(M27-M25)*0.717</f>
        <v>731150.71199999994</v>
      </c>
      <c r="O27" s="1"/>
      <c r="P27" s="1"/>
      <c r="Q27" s="21">
        <v>685</v>
      </c>
      <c r="R27" s="2">
        <v>676</v>
      </c>
      <c r="S27" s="1"/>
      <c r="T27" s="22" t="s">
        <v>94</v>
      </c>
      <c r="U27" s="2"/>
      <c r="V27" s="12">
        <v>45706</v>
      </c>
      <c r="W27" s="1">
        <v>30781048</v>
      </c>
      <c r="X27" s="24">
        <f t="shared" si="3"/>
        <v>584366</v>
      </c>
      <c r="Y27" s="1"/>
      <c r="Z27" s="1">
        <v>680</v>
      </c>
      <c r="AA27" s="1">
        <v>680</v>
      </c>
      <c r="AB27" s="2">
        <v>550</v>
      </c>
      <c r="AC27" s="1"/>
      <c r="AD27" s="39" t="s">
        <v>115</v>
      </c>
    </row>
    <row r="28" spans="1:30" ht="55.2" x14ac:dyDescent="0.3">
      <c r="A28" s="2">
        <v>24</v>
      </c>
      <c r="B28" s="12">
        <v>45781</v>
      </c>
      <c r="C28" s="2">
        <v>41582328</v>
      </c>
      <c r="D28" s="24">
        <f>C28-C26</f>
        <v>2551472</v>
      </c>
      <c r="E28" s="2"/>
      <c r="F28" s="2">
        <v>672</v>
      </c>
      <c r="G28" s="2">
        <v>552</v>
      </c>
      <c r="H28" s="2">
        <v>670</v>
      </c>
      <c r="I28" s="2"/>
      <c r="J28" s="43" t="s">
        <v>112</v>
      </c>
      <c r="L28" s="12">
        <v>45631</v>
      </c>
      <c r="M28" s="6">
        <v>35226592</v>
      </c>
      <c r="N28" s="24">
        <f t="shared" ref="N28:N33" si="4">M28-M27</f>
        <v>181104</v>
      </c>
      <c r="O28" s="6"/>
      <c r="P28" s="6"/>
      <c r="Q28" s="2"/>
      <c r="R28" s="2"/>
      <c r="S28" s="6"/>
      <c r="T28" s="29" t="s">
        <v>94</v>
      </c>
      <c r="V28" s="12">
        <v>45813</v>
      </c>
      <c r="W28" s="1">
        <v>32173920</v>
      </c>
      <c r="X28" s="24">
        <f t="shared" ref="X28:X34" si="5">+W28-W27</f>
        <v>1392872</v>
      </c>
      <c r="Y28" s="1"/>
      <c r="Z28" s="1"/>
      <c r="AA28" s="1"/>
      <c r="AB28" s="2"/>
      <c r="AC28" s="1"/>
      <c r="AD28" s="39" t="s">
        <v>118</v>
      </c>
    </row>
    <row r="29" spans="1:30" x14ac:dyDescent="0.3">
      <c r="A29" s="2">
        <v>24</v>
      </c>
      <c r="B29" s="12">
        <v>45841</v>
      </c>
      <c r="C29" s="2">
        <v>42428608</v>
      </c>
      <c r="D29" s="24">
        <f>C29-C27</f>
        <v>2379740</v>
      </c>
      <c r="E29" s="2"/>
      <c r="F29" s="2">
        <v>675</v>
      </c>
      <c r="G29" s="2">
        <v>556</v>
      </c>
      <c r="H29" s="2">
        <v>672</v>
      </c>
      <c r="I29" s="2">
        <v>166729</v>
      </c>
      <c r="J29" s="29" t="s">
        <v>122</v>
      </c>
      <c r="L29" s="12">
        <v>45708</v>
      </c>
      <c r="M29" s="6">
        <v>36293472</v>
      </c>
      <c r="N29" s="24">
        <f t="shared" si="4"/>
        <v>1066880</v>
      </c>
      <c r="O29" s="6"/>
      <c r="P29" s="6"/>
      <c r="Q29" s="2">
        <v>685</v>
      </c>
      <c r="R29" s="2" t="s">
        <v>117</v>
      </c>
      <c r="S29" s="6"/>
      <c r="T29" s="29" t="s">
        <v>116</v>
      </c>
      <c r="V29" s="12">
        <v>45841</v>
      </c>
      <c r="W29" s="1">
        <v>32511904</v>
      </c>
      <c r="X29" s="24">
        <f t="shared" si="5"/>
        <v>337984</v>
      </c>
      <c r="Y29" s="1"/>
      <c r="Z29" s="1">
        <v>675</v>
      </c>
      <c r="AA29" s="1">
        <v>670</v>
      </c>
      <c r="AB29" s="2">
        <v>535</v>
      </c>
      <c r="AC29" s="1"/>
      <c r="AD29" s="39" t="s">
        <v>124</v>
      </c>
    </row>
    <row r="30" spans="1:30" ht="79.8" x14ac:dyDescent="0.3">
      <c r="A30" s="2">
        <v>25</v>
      </c>
      <c r="B30" s="12">
        <v>45924</v>
      </c>
      <c r="C30" s="2">
        <v>43545420</v>
      </c>
      <c r="D30" s="24">
        <f>C30-C28</f>
        <v>1963092</v>
      </c>
      <c r="E30" s="2"/>
      <c r="F30" s="2">
        <v>675</v>
      </c>
      <c r="G30" s="2">
        <v>556</v>
      </c>
      <c r="H30" s="2">
        <v>672</v>
      </c>
      <c r="I30" s="2">
        <v>166729</v>
      </c>
      <c r="J30" s="29" t="s">
        <v>127</v>
      </c>
      <c r="L30" s="12">
        <v>45832</v>
      </c>
      <c r="M30" s="6">
        <v>37998496</v>
      </c>
      <c r="N30" s="24">
        <f t="shared" si="4"/>
        <v>1705024</v>
      </c>
      <c r="O30" s="6"/>
      <c r="P30" s="6"/>
      <c r="Q30" s="2" t="s">
        <v>121</v>
      </c>
      <c r="R30" s="2" t="s">
        <v>120</v>
      </c>
      <c r="S30" s="6"/>
      <c r="T30" s="29" t="s">
        <v>119</v>
      </c>
      <c r="V30" s="12">
        <v>45907</v>
      </c>
      <c r="W30" s="2">
        <v>33275092</v>
      </c>
      <c r="X30" s="24">
        <f t="shared" si="5"/>
        <v>763188</v>
      </c>
      <c r="Y30" s="2"/>
      <c r="Z30" s="2"/>
      <c r="AA30" s="2"/>
      <c r="AB30" s="2"/>
      <c r="AC30" s="2"/>
      <c r="AD30" s="42" t="s">
        <v>129</v>
      </c>
    </row>
    <row r="31" spans="1:30" x14ac:dyDescent="0.3">
      <c r="A31" s="2">
        <v>26</v>
      </c>
      <c r="B31" s="12">
        <v>45995</v>
      </c>
      <c r="C31" s="2">
        <v>44437704</v>
      </c>
      <c r="D31" s="24">
        <f>C31-C29</f>
        <v>2009096</v>
      </c>
      <c r="E31" s="2"/>
      <c r="F31" s="2">
        <v>680</v>
      </c>
      <c r="G31" s="2">
        <v>590</v>
      </c>
      <c r="H31" s="2">
        <v>685</v>
      </c>
      <c r="I31" s="2">
        <v>166729</v>
      </c>
      <c r="J31" s="29" t="s">
        <v>130</v>
      </c>
      <c r="L31" s="12">
        <v>45841</v>
      </c>
      <c r="M31" s="6">
        <v>38126596</v>
      </c>
      <c r="N31" s="24">
        <f t="shared" si="4"/>
        <v>128100</v>
      </c>
      <c r="O31" s="6"/>
      <c r="P31" s="6">
        <v>680</v>
      </c>
      <c r="Q31" s="2">
        <v>685</v>
      </c>
      <c r="R31" s="2">
        <v>550</v>
      </c>
      <c r="S31" s="6"/>
      <c r="T31" s="29" t="s">
        <v>123</v>
      </c>
      <c r="V31" s="12">
        <v>45924</v>
      </c>
      <c r="W31" s="2">
        <v>33516592</v>
      </c>
      <c r="X31" s="24">
        <f t="shared" si="5"/>
        <v>241500</v>
      </c>
      <c r="Y31" s="2"/>
      <c r="Z31" s="2"/>
      <c r="AA31" s="2"/>
      <c r="AB31" s="2"/>
      <c r="AC31" s="2"/>
      <c r="AD31" s="42" t="s">
        <v>128</v>
      </c>
    </row>
    <row r="32" spans="1:30" ht="42" x14ac:dyDescent="0.3">
      <c r="A32" s="2">
        <v>27</v>
      </c>
      <c r="B32" s="12">
        <v>46009</v>
      </c>
      <c r="C32" s="2">
        <v>44653116</v>
      </c>
      <c r="D32" s="24">
        <f>C32-C30</f>
        <v>1107696</v>
      </c>
      <c r="E32" s="2"/>
      <c r="F32" s="2">
        <v>680</v>
      </c>
      <c r="G32" s="2">
        <v>590</v>
      </c>
      <c r="H32" s="2">
        <v>685</v>
      </c>
      <c r="I32" s="2"/>
      <c r="J32" s="29" t="s">
        <v>131</v>
      </c>
      <c r="L32" s="12">
        <v>45862</v>
      </c>
      <c r="M32" s="6">
        <v>38433696</v>
      </c>
      <c r="N32" s="24">
        <f t="shared" si="4"/>
        <v>307100</v>
      </c>
      <c r="O32" s="6"/>
      <c r="P32" s="6"/>
      <c r="Q32" s="2"/>
      <c r="R32" s="2"/>
      <c r="S32" s="6"/>
      <c r="T32" s="22" t="s">
        <v>125</v>
      </c>
      <c r="V32" s="12">
        <v>46052</v>
      </c>
      <c r="W32" s="2">
        <v>35283008</v>
      </c>
      <c r="X32" s="24">
        <f t="shared" si="5"/>
        <v>1766416</v>
      </c>
      <c r="Y32" s="2"/>
      <c r="Z32" s="2"/>
      <c r="AA32" s="2"/>
      <c r="AB32" s="2"/>
      <c r="AC32" s="2"/>
      <c r="AD32" s="42" t="s">
        <v>132</v>
      </c>
    </row>
    <row r="33" spans="12:30" ht="34.200000000000003" x14ac:dyDescent="0.3">
      <c r="L33" s="12">
        <v>45924</v>
      </c>
      <c r="M33" s="6">
        <v>39309716</v>
      </c>
      <c r="N33" s="24">
        <f t="shared" si="4"/>
        <v>876020</v>
      </c>
      <c r="O33" s="6"/>
      <c r="P33" s="6"/>
      <c r="Q33" s="2"/>
      <c r="R33" s="2"/>
      <c r="S33" s="6"/>
      <c r="T33" s="22" t="s">
        <v>126</v>
      </c>
      <c r="V33" s="12">
        <v>46120</v>
      </c>
      <c r="W33" s="2">
        <v>36378632</v>
      </c>
      <c r="X33" s="24">
        <f t="shared" si="5"/>
        <v>1095624</v>
      </c>
      <c r="Y33" s="2"/>
      <c r="Z33" s="2">
        <v>680</v>
      </c>
      <c r="AA33" s="2">
        <v>700</v>
      </c>
      <c r="AB33" s="2">
        <v>560</v>
      </c>
      <c r="AC33" s="2"/>
      <c r="AD33" s="42" t="s">
        <v>133</v>
      </c>
    </row>
    <row r="34" spans="12:30" ht="28.2" x14ac:dyDescent="0.3">
      <c r="L34" s="12">
        <v>46163</v>
      </c>
      <c r="M34" s="6">
        <v>43034136</v>
      </c>
      <c r="N34" s="24">
        <f t="shared" ref="N34" si="6">M34-M33</f>
        <v>3724420</v>
      </c>
      <c r="O34" s="6"/>
      <c r="P34" s="6"/>
      <c r="Q34" s="2"/>
      <c r="R34" s="2"/>
      <c r="S34" s="6"/>
      <c r="T34" s="22" t="s">
        <v>135</v>
      </c>
      <c r="V34" s="12">
        <v>46149</v>
      </c>
      <c r="W34" s="2">
        <v>36824304</v>
      </c>
      <c r="X34" s="24">
        <f t="shared" si="5"/>
        <v>445672</v>
      </c>
      <c r="Y34" s="2"/>
      <c r="Z34" s="2">
        <v>680</v>
      </c>
      <c r="AA34" s="2">
        <v>700</v>
      </c>
      <c r="AB34" s="2">
        <v>560</v>
      </c>
      <c r="AC34" s="2"/>
      <c r="AD34" s="42" t="s">
        <v>134</v>
      </c>
    </row>
    <row r="35" spans="12:30" ht="42" x14ac:dyDescent="0.3">
      <c r="L35" s="12">
        <v>46184</v>
      </c>
      <c r="M35" s="6">
        <v>43409048</v>
      </c>
      <c r="N35" s="24">
        <f t="shared" ref="N35" si="7">M35-M34</f>
        <v>374912</v>
      </c>
      <c r="O35" s="6"/>
      <c r="P35" s="6"/>
      <c r="Q35" s="2"/>
      <c r="R35" s="2"/>
      <c r="S35" s="6"/>
      <c r="T35" s="22" t="s">
        <v>136</v>
      </c>
    </row>
    <row r="39" spans="12:30" x14ac:dyDescent="0.3">
      <c r="O39" t="s">
        <v>21</v>
      </c>
    </row>
    <row r="43" spans="12:30" x14ac:dyDescent="0.3">
      <c r="O43" s="4"/>
      <c r="P43" s="4"/>
      <c r="Q43" s="4"/>
      <c r="R43" s="4"/>
      <c r="T43" s="4"/>
    </row>
    <row r="44" spans="12:30" x14ac:dyDescent="0.3">
      <c r="O44" s="4"/>
      <c r="P44" s="4"/>
      <c r="Q44" s="4"/>
      <c r="R44" s="4"/>
      <c r="T44" s="4"/>
    </row>
    <row r="45" spans="12:30" x14ac:dyDescent="0.3">
      <c r="O45" s="4"/>
      <c r="P45" s="4"/>
      <c r="Q45" s="4"/>
      <c r="R45" s="4"/>
      <c r="T45" s="4"/>
    </row>
    <row r="46" spans="12:30" x14ac:dyDescent="0.3">
      <c r="O46" s="4"/>
      <c r="P46" s="4"/>
      <c r="Q46" s="4"/>
      <c r="R46" s="4"/>
      <c r="T46" s="4"/>
    </row>
    <row r="47" spans="12:30" x14ac:dyDescent="0.3">
      <c r="O47" s="4"/>
      <c r="P47" s="4"/>
      <c r="Q47" s="4"/>
      <c r="R47" s="4"/>
      <c r="T47" s="4"/>
    </row>
    <row r="48" spans="12:30" x14ac:dyDescent="0.3">
      <c r="O48" s="4"/>
      <c r="P48" s="4"/>
      <c r="Q48" s="4"/>
      <c r="R48" s="4"/>
      <c r="T48" s="4"/>
    </row>
    <row r="49" spans="15:20" x14ac:dyDescent="0.3">
      <c r="O49" s="4"/>
      <c r="P49" s="4"/>
      <c r="Q49" s="4"/>
      <c r="R49" s="4"/>
      <c r="T49" s="4"/>
    </row>
    <row r="50" spans="15:20" x14ac:dyDescent="0.3">
      <c r="O50" s="4"/>
      <c r="P50" s="4"/>
      <c r="Q50" s="4"/>
      <c r="R50" s="4"/>
      <c r="T50" s="4"/>
    </row>
    <row r="51" spans="15:20" x14ac:dyDescent="0.3">
      <c r="O51" s="4"/>
      <c r="P51" s="4"/>
      <c r="Q51" s="4"/>
      <c r="R51" s="4"/>
      <c r="T51" s="4"/>
    </row>
    <row r="52" spans="15:20" x14ac:dyDescent="0.3">
      <c r="O52" s="4"/>
      <c r="P52" s="4"/>
      <c r="Q52" s="4"/>
      <c r="R52" s="4"/>
      <c r="T52" s="4"/>
    </row>
    <row r="53" spans="15:20" x14ac:dyDescent="0.3">
      <c r="O53" s="4"/>
      <c r="P53" s="4"/>
      <c r="Q53" s="4"/>
      <c r="R53" s="4"/>
      <c r="T53" s="4"/>
    </row>
    <row r="54" spans="15:20" x14ac:dyDescent="0.3">
      <c r="O54" s="4"/>
      <c r="P54" s="4"/>
      <c r="Q54" s="4"/>
      <c r="R54" s="4"/>
      <c r="T54" s="4"/>
    </row>
    <row r="55" spans="15:20" x14ac:dyDescent="0.3">
      <c r="O55" s="4"/>
      <c r="P55" s="4"/>
      <c r="Q55" s="4"/>
      <c r="R55" s="4"/>
      <c r="T55" s="4"/>
    </row>
    <row r="56" spans="15:20" x14ac:dyDescent="0.3">
      <c r="O56" s="4"/>
      <c r="P56" s="4"/>
      <c r="Q56" s="4"/>
      <c r="R56" s="4"/>
      <c r="T56" s="4"/>
    </row>
    <row r="57" spans="15:20" x14ac:dyDescent="0.3">
      <c r="O57" s="4"/>
      <c r="P57" s="4"/>
      <c r="Q57" s="4"/>
      <c r="R57" s="4"/>
      <c r="T57" s="4"/>
    </row>
    <row r="58" spans="15:20" x14ac:dyDescent="0.3">
      <c r="O58" s="4"/>
      <c r="P58" s="4"/>
      <c r="Q58" s="4"/>
      <c r="R58" s="4"/>
      <c r="T58" s="4"/>
    </row>
    <row r="59" spans="15:20" x14ac:dyDescent="0.3">
      <c r="O59" s="4"/>
      <c r="P59" s="4"/>
      <c r="Q59" s="4"/>
      <c r="R59" s="4"/>
      <c r="T59" s="4"/>
    </row>
    <row r="60" spans="15:20" x14ac:dyDescent="0.3">
      <c r="O60" s="4"/>
      <c r="P60" s="4"/>
      <c r="Q60" s="4"/>
      <c r="R60" s="4"/>
      <c r="T60" s="4"/>
    </row>
    <row r="61" spans="15:20" x14ac:dyDescent="0.3">
      <c r="O61" s="4"/>
      <c r="P61" s="4"/>
      <c r="Q61" s="4"/>
      <c r="R61" s="4"/>
      <c r="T61" s="4"/>
    </row>
    <row r="62" spans="15:20" x14ac:dyDescent="0.3">
      <c r="O62" s="4"/>
      <c r="P62" s="4"/>
      <c r="Q62" s="4"/>
      <c r="R62" s="4"/>
      <c r="T62" s="4"/>
    </row>
    <row r="63" spans="15:20" x14ac:dyDescent="0.3">
      <c r="O63" s="4"/>
      <c r="P63" s="4"/>
      <c r="Q63" s="4"/>
      <c r="R63" s="4"/>
      <c r="T63" s="4"/>
    </row>
    <row r="64" spans="15:20" x14ac:dyDescent="0.3">
      <c r="O64" s="4"/>
      <c r="P64" s="4"/>
      <c r="Q64" s="4"/>
      <c r="R64" s="4"/>
      <c r="T64" s="4"/>
    </row>
    <row r="65" spans="15:20" x14ac:dyDescent="0.3">
      <c r="O65" s="4"/>
      <c r="P65" s="4"/>
      <c r="Q65" s="4"/>
      <c r="R65" s="4"/>
      <c r="T65" s="4"/>
    </row>
    <row r="66" spans="15:20" x14ac:dyDescent="0.3">
      <c r="O66" s="4"/>
      <c r="P66" s="4"/>
      <c r="Q66" s="4"/>
      <c r="R66" s="4"/>
      <c r="T66" s="4"/>
    </row>
    <row r="67" spans="15:20" x14ac:dyDescent="0.3">
      <c r="O67" s="4"/>
      <c r="P67" s="4"/>
      <c r="Q67" s="4"/>
      <c r="R67" s="4"/>
      <c r="T67" s="4"/>
    </row>
    <row r="68" spans="15:20" x14ac:dyDescent="0.3">
      <c r="O68" s="4"/>
      <c r="P68" s="4"/>
      <c r="Q68" s="4"/>
      <c r="R68" s="4"/>
      <c r="T68" s="4"/>
    </row>
    <row r="69" spans="15:20" x14ac:dyDescent="0.3">
      <c r="O69" s="4"/>
      <c r="P69" s="4"/>
      <c r="Q69" s="4"/>
      <c r="R69" s="4"/>
      <c r="T69" s="4"/>
    </row>
    <row r="70" spans="15:20" x14ac:dyDescent="0.3">
      <c r="O70" s="4"/>
      <c r="P70" s="4"/>
      <c r="Q70" s="4"/>
      <c r="R70" s="4"/>
      <c r="T70" s="4"/>
    </row>
    <row r="71" spans="15:20" x14ac:dyDescent="0.3">
      <c r="O71" s="4"/>
      <c r="P71" s="4"/>
      <c r="Q71" s="4"/>
      <c r="R71" s="4"/>
      <c r="T71" s="4"/>
    </row>
    <row r="72" spans="15:20" x14ac:dyDescent="0.3">
      <c r="O72" s="4"/>
      <c r="P72" s="4"/>
      <c r="Q72" s="4"/>
      <c r="R72" s="4"/>
      <c r="T72" s="4"/>
    </row>
    <row r="73" spans="15:20" x14ac:dyDescent="0.3">
      <c r="O73" s="4"/>
      <c r="P73" s="4"/>
      <c r="Q73" s="4"/>
      <c r="R73" s="4"/>
      <c r="T73" s="4"/>
    </row>
    <row r="74" spans="15:20" x14ac:dyDescent="0.3">
      <c r="O74" s="4"/>
      <c r="P74" s="4"/>
      <c r="Q74" s="4"/>
      <c r="R74" s="4"/>
      <c r="T74" s="4"/>
    </row>
  </sheetData>
  <mergeCells count="24">
    <mergeCell ref="A3:A4"/>
    <mergeCell ref="B3:B4"/>
    <mergeCell ref="J3:J4"/>
    <mergeCell ref="E2:J2"/>
    <mergeCell ref="I3:I4"/>
    <mergeCell ref="C3:C4"/>
    <mergeCell ref="D3:D4"/>
    <mergeCell ref="E3:H3"/>
    <mergeCell ref="AD3:AD4"/>
    <mergeCell ref="O2:T2"/>
    <mergeCell ref="Y2:AD2"/>
    <mergeCell ref="K3:K4"/>
    <mergeCell ref="L3:L4"/>
    <mergeCell ref="M3:M4"/>
    <mergeCell ref="N3:N4"/>
    <mergeCell ref="O3:R3"/>
    <mergeCell ref="S3:S4"/>
    <mergeCell ref="T3:T4"/>
    <mergeCell ref="U3:U4"/>
    <mergeCell ref="V3:V4"/>
    <mergeCell ref="W3:W4"/>
    <mergeCell ref="X3:X4"/>
    <mergeCell ref="AC3:AC4"/>
    <mergeCell ref="Y3:AB3"/>
  </mergeCells>
  <phoneticPr fontId="13" type="noConversion"/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CCF1-DD48-4913-A0A8-8376809685BD}">
  <dimension ref="A2:AJ75"/>
  <sheetViews>
    <sheetView workbookViewId="0">
      <pane xSplit="2" ySplit="4" topLeftCell="C25" activePane="bottomRight" state="frozen"/>
      <selection pane="topRight" activeCell="C1" sqref="C1"/>
      <selection pane="bottomLeft" activeCell="A5" sqref="A5"/>
      <selection pane="bottomRight" activeCell="B20" sqref="B20"/>
    </sheetView>
  </sheetViews>
  <sheetFormatPr defaultRowHeight="14.4" x14ac:dyDescent="0.3"/>
  <cols>
    <col min="1" max="1" width="3" bestFit="1" customWidth="1"/>
    <col min="2" max="3" width="11.6640625" customWidth="1"/>
    <col min="4" max="4" width="12.33203125" customWidth="1"/>
    <col min="5" max="5" width="13.6640625" customWidth="1"/>
    <col min="9" max="10" width="17" customWidth="1"/>
    <col min="11" max="11" width="10.44140625" customWidth="1"/>
    <col min="12" max="12" width="23.6640625" customWidth="1"/>
    <col min="13" max="13" width="3" bestFit="1" customWidth="1"/>
    <col min="14" max="14" width="14" customWidth="1"/>
    <col min="15" max="15" width="9.44140625" customWidth="1"/>
    <col min="16" max="16" width="9.33203125" customWidth="1"/>
    <col min="17" max="17" width="10.44140625" customWidth="1"/>
    <col min="19" max="19" width="9.6640625" bestFit="1" customWidth="1"/>
    <col min="20" max="20" width="13" customWidth="1"/>
    <col min="21" max="22" width="17" customWidth="1"/>
    <col min="23" max="23" width="10.44140625" customWidth="1"/>
    <col min="24" max="24" width="23.6640625" customWidth="1"/>
    <col min="25" max="25" width="3" bestFit="1" customWidth="1"/>
    <col min="26" max="27" width="9.44140625" customWidth="1"/>
    <col min="28" max="28" width="9.33203125" customWidth="1"/>
    <col min="29" max="29" width="13.33203125" customWidth="1"/>
    <col min="32" max="32" width="11.33203125" customWidth="1"/>
    <col min="34" max="34" width="10.6640625" customWidth="1"/>
    <col min="35" max="35" width="11" customWidth="1"/>
    <col min="36" max="36" width="37.6640625" customWidth="1"/>
  </cols>
  <sheetData>
    <row r="2" spans="1:36" x14ac:dyDescent="0.3">
      <c r="A2" s="14"/>
      <c r="B2" s="15"/>
      <c r="C2" s="15"/>
      <c r="D2" s="14"/>
      <c r="E2" s="14"/>
      <c r="F2" s="83" t="s">
        <v>0</v>
      </c>
      <c r="G2" s="83"/>
      <c r="H2" s="83"/>
      <c r="I2" s="83"/>
      <c r="J2" s="83"/>
      <c r="K2" s="83"/>
      <c r="L2" s="83"/>
      <c r="M2" s="7"/>
      <c r="N2" s="18"/>
      <c r="O2" s="18"/>
      <c r="P2" s="7"/>
      <c r="Q2" s="7"/>
      <c r="R2" s="84" t="s">
        <v>1</v>
      </c>
      <c r="S2" s="84"/>
      <c r="T2" s="84"/>
      <c r="U2" s="84"/>
      <c r="V2" s="84"/>
      <c r="W2" s="84"/>
      <c r="X2" s="84"/>
      <c r="Y2" s="7"/>
      <c r="Z2" s="18"/>
      <c r="AA2" s="18"/>
      <c r="AB2" s="7"/>
      <c r="AC2" s="7"/>
      <c r="AD2" s="85" t="s">
        <v>2</v>
      </c>
      <c r="AE2" s="85"/>
      <c r="AF2" s="85"/>
      <c r="AG2" s="85"/>
      <c r="AH2" s="85"/>
      <c r="AI2" s="85"/>
      <c r="AJ2" s="85"/>
    </row>
    <row r="3" spans="1:36" x14ac:dyDescent="0.3">
      <c r="A3" s="52" t="s">
        <v>3</v>
      </c>
      <c r="B3" s="79" t="s">
        <v>4</v>
      </c>
      <c r="C3" s="80"/>
      <c r="D3" s="76" t="s">
        <v>5</v>
      </c>
      <c r="E3" s="76" t="s">
        <v>6</v>
      </c>
      <c r="F3" s="75" t="s">
        <v>7</v>
      </c>
      <c r="G3" s="75"/>
      <c r="H3" s="75"/>
      <c r="I3" s="75"/>
      <c r="J3" s="75"/>
      <c r="K3" s="86" t="s">
        <v>8</v>
      </c>
      <c r="L3" s="75" t="s">
        <v>9</v>
      </c>
      <c r="M3" s="52" t="s">
        <v>3</v>
      </c>
      <c r="N3" s="79" t="s">
        <v>4</v>
      </c>
      <c r="O3" s="80"/>
      <c r="P3" s="76" t="s">
        <v>10</v>
      </c>
      <c r="Q3" s="76" t="s">
        <v>6</v>
      </c>
      <c r="R3" s="87" t="s">
        <v>11</v>
      </c>
      <c r="S3" s="87"/>
      <c r="T3" s="87"/>
      <c r="U3" s="87"/>
      <c r="V3" s="87"/>
      <c r="W3" s="78" t="s">
        <v>8</v>
      </c>
      <c r="X3" s="87" t="s">
        <v>9</v>
      </c>
      <c r="Y3" s="52" t="s">
        <v>3</v>
      </c>
      <c r="Z3" s="79" t="s">
        <v>4</v>
      </c>
      <c r="AA3" s="80"/>
      <c r="AB3" s="76" t="s">
        <v>34</v>
      </c>
      <c r="AC3" s="76" t="s">
        <v>6</v>
      </c>
      <c r="AD3" s="77" t="s">
        <v>11</v>
      </c>
      <c r="AE3" s="77"/>
      <c r="AF3" s="77"/>
      <c r="AG3" s="77"/>
      <c r="AH3" s="77"/>
      <c r="AI3" s="88" t="s">
        <v>8</v>
      </c>
      <c r="AJ3" s="77" t="s">
        <v>9</v>
      </c>
    </row>
    <row r="4" spans="1:36" x14ac:dyDescent="0.3">
      <c r="A4" s="52"/>
      <c r="B4" s="81"/>
      <c r="C4" s="82"/>
      <c r="D4" s="76"/>
      <c r="E4" s="76"/>
      <c r="F4" s="20" t="s">
        <v>12</v>
      </c>
      <c r="G4" s="20" t="s">
        <v>13</v>
      </c>
      <c r="H4" s="20" t="s">
        <v>52</v>
      </c>
      <c r="I4" s="20" t="s">
        <v>53</v>
      </c>
      <c r="J4" s="20" t="s">
        <v>51</v>
      </c>
      <c r="K4" s="86"/>
      <c r="L4" s="75"/>
      <c r="M4" s="52"/>
      <c r="N4" s="81"/>
      <c r="O4" s="82"/>
      <c r="P4" s="76"/>
      <c r="Q4" s="76"/>
      <c r="R4" s="25" t="s">
        <v>12</v>
      </c>
      <c r="S4" s="25" t="s">
        <v>13</v>
      </c>
      <c r="T4" s="25" t="s">
        <v>52</v>
      </c>
      <c r="U4" s="25" t="s">
        <v>53</v>
      </c>
      <c r="V4" s="25" t="s">
        <v>54</v>
      </c>
      <c r="W4" s="78"/>
      <c r="X4" s="87"/>
      <c r="Y4" s="52"/>
      <c r="Z4" s="81"/>
      <c r="AA4" s="82"/>
      <c r="AB4" s="76"/>
      <c r="AC4" s="76"/>
      <c r="AD4" s="26" t="s">
        <v>12</v>
      </c>
      <c r="AE4" s="26" t="s">
        <v>13</v>
      </c>
      <c r="AF4" s="26" t="s">
        <v>52</v>
      </c>
      <c r="AG4" s="26" t="s">
        <v>53</v>
      </c>
      <c r="AH4" s="26" t="s">
        <v>54</v>
      </c>
      <c r="AI4" s="88"/>
      <c r="AJ4" s="77"/>
    </row>
    <row r="5" spans="1:36" x14ac:dyDescent="0.3">
      <c r="A5" s="2">
        <v>1</v>
      </c>
      <c r="B5" s="12">
        <v>41097</v>
      </c>
      <c r="C5" s="36">
        <f t="shared" ref="C5:C7" si="0">+YEAR(B5)</f>
        <v>2012</v>
      </c>
      <c r="D5" s="24"/>
      <c r="E5" s="24"/>
      <c r="F5" s="11"/>
      <c r="G5" s="11"/>
      <c r="H5" s="11"/>
      <c r="I5" s="5">
        <v>1</v>
      </c>
      <c r="J5" s="5"/>
      <c r="K5" s="5"/>
      <c r="L5" s="2"/>
      <c r="M5" s="2">
        <v>1</v>
      </c>
      <c r="N5" s="23">
        <v>41246</v>
      </c>
      <c r="O5" s="36">
        <f t="shared" ref="O5:O36" si="1">+YEAR(N5)</f>
        <v>2012</v>
      </c>
      <c r="P5" s="1"/>
      <c r="Q5" s="24"/>
      <c r="R5" s="11"/>
      <c r="S5" s="11"/>
      <c r="T5" s="11"/>
      <c r="U5" s="5">
        <v>1</v>
      </c>
      <c r="V5" s="5"/>
      <c r="W5" s="5"/>
      <c r="X5" s="2"/>
      <c r="Y5" s="2">
        <v>1</v>
      </c>
      <c r="Z5" s="10">
        <v>43016</v>
      </c>
      <c r="AA5" s="36">
        <f t="shared" ref="AA5:AA36" si="2">+YEAR(Z5)</f>
        <v>2017</v>
      </c>
      <c r="AB5" s="1">
        <v>6809226</v>
      </c>
      <c r="AC5" s="24"/>
      <c r="AD5" s="11"/>
      <c r="AE5" s="11"/>
      <c r="AF5" s="11"/>
      <c r="AG5" s="11"/>
      <c r="AH5" s="5">
        <v>1</v>
      </c>
      <c r="AI5" s="5"/>
      <c r="AJ5" s="11"/>
    </row>
    <row r="6" spans="1:36" x14ac:dyDescent="0.3">
      <c r="A6" s="2">
        <v>2</v>
      </c>
      <c r="B6" s="12">
        <v>41115</v>
      </c>
      <c r="C6" s="36">
        <f t="shared" si="0"/>
        <v>2012</v>
      </c>
      <c r="D6" s="24"/>
      <c r="E6" s="24"/>
      <c r="F6" s="2">
        <v>1</v>
      </c>
      <c r="G6" s="2">
        <v>1</v>
      </c>
      <c r="H6" s="2">
        <v>1</v>
      </c>
      <c r="I6" s="2">
        <v>1</v>
      </c>
      <c r="J6" s="2"/>
      <c r="K6" s="2"/>
      <c r="L6" s="2"/>
      <c r="M6" s="2">
        <v>2</v>
      </c>
      <c r="N6" s="23">
        <v>41443</v>
      </c>
      <c r="O6" s="36">
        <f t="shared" si="1"/>
        <v>2013</v>
      </c>
      <c r="P6" s="17"/>
      <c r="Q6" s="24"/>
      <c r="R6" s="2"/>
      <c r="S6" s="2"/>
      <c r="T6" s="2"/>
      <c r="U6" s="2">
        <v>1</v>
      </c>
      <c r="V6" s="2">
        <v>1</v>
      </c>
      <c r="W6" s="2"/>
      <c r="X6" s="2"/>
      <c r="Y6" s="2">
        <v>2</v>
      </c>
      <c r="Z6" s="19">
        <v>43044</v>
      </c>
      <c r="AA6" s="36">
        <f t="shared" si="2"/>
        <v>2017</v>
      </c>
      <c r="AB6" s="17">
        <v>6899411</v>
      </c>
      <c r="AC6" s="24">
        <f>+AB6-AB5</f>
        <v>90185</v>
      </c>
      <c r="AD6" s="2"/>
      <c r="AE6" s="2"/>
      <c r="AF6" s="2">
        <v>1</v>
      </c>
      <c r="AG6" s="2"/>
      <c r="AH6" s="2"/>
      <c r="AI6" s="2"/>
      <c r="AJ6" s="1" t="s">
        <v>56</v>
      </c>
    </row>
    <row r="7" spans="1:36" x14ac:dyDescent="0.3">
      <c r="A7" s="2">
        <v>3</v>
      </c>
      <c r="B7" s="12">
        <v>41175</v>
      </c>
      <c r="C7" s="36">
        <f t="shared" si="0"/>
        <v>2012</v>
      </c>
      <c r="D7" s="24"/>
      <c r="E7" s="24"/>
      <c r="F7" s="2">
        <v>1</v>
      </c>
      <c r="G7" s="2">
        <v>1</v>
      </c>
      <c r="H7" s="2">
        <v>1</v>
      </c>
      <c r="I7" s="2">
        <v>1</v>
      </c>
      <c r="J7" s="2"/>
      <c r="K7" s="2"/>
      <c r="L7" s="2"/>
      <c r="M7" s="2">
        <v>3</v>
      </c>
      <c r="N7" s="12">
        <v>41455</v>
      </c>
      <c r="O7" s="36">
        <f t="shared" si="1"/>
        <v>2013</v>
      </c>
      <c r="P7" s="2"/>
      <c r="Q7" s="24"/>
      <c r="R7" s="2"/>
      <c r="S7" s="2"/>
      <c r="T7" s="2"/>
      <c r="U7" s="2">
        <v>1</v>
      </c>
      <c r="V7" s="2"/>
      <c r="W7" s="2"/>
      <c r="X7" s="2"/>
      <c r="Y7" s="2">
        <v>3</v>
      </c>
      <c r="Z7" s="12">
        <v>43111</v>
      </c>
      <c r="AA7" s="36">
        <f t="shared" si="2"/>
        <v>2018</v>
      </c>
      <c r="AB7" s="2">
        <v>7523916</v>
      </c>
      <c r="AC7" s="24">
        <f t="shared" ref="AC7:AC24" si="3">+AB7-AB6</f>
        <v>624505</v>
      </c>
      <c r="AD7" s="2"/>
      <c r="AE7" s="2"/>
      <c r="AF7" s="2"/>
      <c r="AG7" s="2"/>
      <c r="AH7" s="2">
        <v>1</v>
      </c>
      <c r="AI7" s="2"/>
      <c r="AJ7" s="2"/>
    </row>
    <row r="8" spans="1:36" ht="18" customHeight="1" x14ac:dyDescent="0.3">
      <c r="A8" s="2">
        <v>4</v>
      </c>
      <c r="B8" s="12">
        <v>41370</v>
      </c>
      <c r="C8" s="36">
        <f>+YEAR(B8)</f>
        <v>2013</v>
      </c>
      <c r="D8" s="24"/>
      <c r="E8" s="24"/>
      <c r="F8" s="2"/>
      <c r="G8" s="2"/>
      <c r="H8" s="2"/>
      <c r="I8" s="2">
        <v>1</v>
      </c>
      <c r="J8" s="2">
        <v>1</v>
      </c>
      <c r="K8" s="2"/>
      <c r="L8" s="2"/>
      <c r="M8" s="2">
        <v>4</v>
      </c>
      <c r="N8" s="12">
        <v>41472</v>
      </c>
      <c r="O8" s="36">
        <f t="shared" si="1"/>
        <v>2013</v>
      </c>
      <c r="P8" s="2"/>
      <c r="Q8" s="24"/>
      <c r="R8" s="1"/>
      <c r="S8" s="1"/>
      <c r="T8" s="1"/>
      <c r="U8" s="2"/>
      <c r="V8" s="2"/>
      <c r="W8" s="1"/>
      <c r="X8" s="22"/>
      <c r="Y8" s="2">
        <v>4</v>
      </c>
      <c r="Z8" s="12">
        <v>43135</v>
      </c>
      <c r="AA8" s="36">
        <f t="shared" si="2"/>
        <v>2018</v>
      </c>
      <c r="AB8" s="2">
        <v>7741621</v>
      </c>
      <c r="AC8" s="24">
        <f t="shared" si="3"/>
        <v>217705</v>
      </c>
      <c r="AD8" s="2">
        <v>1</v>
      </c>
      <c r="AE8" s="2">
        <v>1</v>
      </c>
      <c r="AF8" s="2">
        <v>1</v>
      </c>
      <c r="AG8" s="2">
        <v>1</v>
      </c>
      <c r="AH8" s="2"/>
      <c r="AI8" s="1"/>
      <c r="AJ8" s="8" t="s">
        <v>57</v>
      </c>
    </row>
    <row r="9" spans="1:36" x14ac:dyDescent="0.3">
      <c r="A9" s="2">
        <v>5</v>
      </c>
      <c r="B9" s="12">
        <v>41430</v>
      </c>
      <c r="C9" s="36">
        <f t="shared" ref="C9:C35" si="4">+YEAR(B9)</f>
        <v>2013</v>
      </c>
      <c r="D9" s="24"/>
      <c r="E9" s="24"/>
      <c r="F9" s="2"/>
      <c r="G9" s="2"/>
      <c r="H9" s="2"/>
      <c r="I9" s="2">
        <v>1</v>
      </c>
      <c r="J9" s="2"/>
      <c r="K9" s="2"/>
      <c r="L9" s="2"/>
      <c r="M9" s="2">
        <v>5</v>
      </c>
      <c r="N9" s="12">
        <v>43021</v>
      </c>
      <c r="O9" s="36">
        <f t="shared" si="1"/>
        <v>2017</v>
      </c>
      <c r="P9" s="2">
        <v>12520512</v>
      </c>
      <c r="Q9" s="24">
        <f>+P9-P8</f>
        <v>12520512</v>
      </c>
      <c r="R9" s="2">
        <v>1</v>
      </c>
      <c r="S9" s="2">
        <v>1</v>
      </c>
      <c r="T9" s="2">
        <v>1</v>
      </c>
      <c r="U9" s="6">
        <v>1</v>
      </c>
      <c r="V9" s="6"/>
      <c r="W9" s="2"/>
      <c r="X9" s="21"/>
      <c r="Y9" s="2">
        <v>5</v>
      </c>
      <c r="Z9" s="12">
        <v>43182</v>
      </c>
      <c r="AA9" s="36">
        <f t="shared" si="2"/>
        <v>2018</v>
      </c>
      <c r="AB9" s="2">
        <v>8213165</v>
      </c>
      <c r="AC9" s="24">
        <f t="shared" si="3"/>
        <v>471544</v>
      </c>
      <c r="AD9" s="2"/>
      <c r="AE9" s="2"/>
      <c r="AF9" s="2">
        <v>1</v>
      </c>
      <c r="AG9" s="2"/>
      <c r="AH9" s="2"/>
      <c r="AI9" s="2"/>
      <c r="AJ9" s="1" t="s">
        <v>58</v>
      </c>
    </row>
    <row r="10" spans="1:36" x14ac:dyDescent="0.3">
      <c r="A10" s="2">
        <v>6</v>
      </c>
      <c r="B10" s="12">
        <v>41449</v>
      </c>
      <c r="C10" s="36">
        <f t="shared" si="4"/>
        <v>2013</v>
      </c>
      <c r="D10" s="24"/>
      <c r="E10" s="24"/>
      <c r="F10" s="2"/>
      <c r="G10" s="2"/>
      <c r="H10" s="2">
        <v>1</v>
      </c>
      <c r="I10" s="2"/>
      <c r="J10" s="2"/>
      <c r="K10" s="2"/>
      <c r="L10" s="2"/>
      <c r="M10" s="2">
        <v>6</v>
      </c>
      <c r="N10" s="12">
        <v>43035</v>
      </c>
      <c r="O10" s="36">
        <f t="shared" si="1"/>
        <v>2017</v>
      </c>
      <c r="P10" s="2">
        <v>12675545</v>
      </c>
      <c r="Q10" s="24">
        <f t="shared" ref="Q10:Q34" si="5">+P10-P9</f>
        <v>155033</v>
      </c>
      <c r="R10" s="2"/>
      <c r="S10" s="2"/>
      <c r="T10" s="2"/>
      <c r="U10" s="6">
        <v>1</v>
      </c>
      <c r="V10" s="6">
        <v>1</v>
      </c>
      <c r="W10" s="2"/>
      <c r="X10" s="21"/>
      <c r="Y10" s="2">
        <v>6</v>
      </c>
      <c r="Z10" s="12">
        <v>43227</v>
      </c>
      <c r="AA10" s="36">
        <f t="shared" si="2"/>
        <v>2018</v>
      </c>
      <c r="AB10" s="2">
        <v>8705217</v>
      </c>
      <c r="AC10" s="24">
        <f t="shared" si="3"/>
        <v>492052</v>
      </c>
      <c r="AD10" s="2">
        <v>1</v>
      </c>
      <c r="AE10" s="2">
        <v>1</v>
      </c>
      <c r="AF10" s="2">
        <v>1</v>
      </c>
      <c r="AG10" s="2">
        <v>1</v>
      </c>
      <c r="AH10" s="2"/>
      <c r="AI10" s="2"/>
      <c r="AJ10" s="1"/>
    </row>
    <row r="11" spans="1:36" x14ac:dyDescent="0.3">
      <c r="A11" s="2">
        <v>7</v>
      </c>
      <c r="B11" s="12">
        <v>41478</v>
      </c>
      <c r="C11" s="36">
        <f t="shared" si="4"/>
        <v>2013</v>
      </c>
      <c r="D11" s="24"/>
      <c r="E11" s="24"/>
      <c r="F11" s="2"/>
      <c r="G11" s="2"/>
      <c r="H11" s="2">
        <v>1</v>
      </c>
      <c r="I11" s="2">
        <v>1</v>
      </c>
      <c r="J11" s="2"/>
      <c r="K11" s="2"/>
      <c r="L11" s="2"/>
      <c r="M11" s="2">
        <v>7</v>
      </c>
      <c r="N11" s="23">
        <v>43068</v>
      </c>
      <c r="O11" s="36">
        <f t="shared" si="1"/>
        <v>2017</v>
      </c>
      <c r="P11" s="1">
        <v>12850878</v>
      </c>
      <c r="Q11" s="24">
        <f t="shared" si="5"/>
        <v>175333</v>
      </c>
      <c r="R11" s="1"/>
      <c r="S11" s="3"/>
      <c r="T11" s="3"/>
      <c r="U11" s="2"/>
      <c r="V11" s="2">
        <v>1</v>
      </c>
      <c r="W11" s="1"/>
      <c r="X11" s="21"/>
      <c r="Y11" s="2">
        <v>7</v>
      </c>
      <c r="Z11" s="10">
        <v>43281</v>
      </c>
      <c r="AA11" s="36">
        <f t="shared" si="2"/>
        <v>2018</v>
      </c>
      <c r="AB11" s="1">
        <v>9446696</v>
      </c>
      <c r="AC11" s="24">
        <f t="shared" si="3"/>
        <v>741479</v>
      </c>
      <c r="AD11" s="2"/>
      <c r="AE11" s="2"/>
      <c r="AF11" s="2"/>
      <c r="AG11" s="2"/>
      <c r="AH11" s="2">
        <v>1</v>
      </c>
      <c r="AI11" s="1"/>
      <c r="AJ11" s="9" t="s">
        <v>59</v>
      </c>
    </row>
    <row r="12" spans="1:36" x14ac:dyDescent="0.3">
      <c r="A12" s="2">
        <v>8</v>
      </c>
      <c r="B12" s="12">
        <v>41487</v>
      </c>
      <c r="C12" s="36">
        <f t="shared" si="4"/>
        <v>2013</v>
      </c>
      <c r="D12" s="24"/>
      <c r="E12" s="24"/>
      <c r="F12" s="2">
        <v>1</v>
      </c>
      <c r="G12" s="2">
        <v>1</v>
      </c>
      <c r="H12" s="2">
        <v>1</v>
      </c>
      <c r="I12" s="2">
        <v>1</v>
      </c>
      <c r="J12" s="2"/>
      <c r="K12" s="2"/>
      <c r="L12" s="29"/>
      <c r="M12" s="2">
        <v>8</v>
      </c>
      <c r="N12" s="23">
        <v>43190</v>
      </c>
      <c r="O12" s="36">
        <f t="shared" si="1"/>
        <v>2018</v>
      </c>
      <c r="P12" s="1">
        <v>13265285</v>
      </c>
      <c r="Q12" s="24">
        <f t="shared" si="5"/>
        <v>414407</v>
      </c>
      <c r="R12" s="1"/>
      <c r="S12" s="28"/>
      <c r="T12" s="28"/>
      <c r="U12" s="2"/>
      <c r="V12" s="2">
        <v>1</v>
      </c>
      <c r="W12" s="1"/>
      <c r="X12" s="21"/>
      <c r="Y12" s="2">
        <v>8</v>
      </c>
      <c r="Z12" s="12">
        <v>43470</v>
      </c>
      <c r="AA12" s="36">
        <f t="shared" si="2"/>
        <v>2019</v>
      </c>
      <c r="AB12" s="1">
        <v>11696116</v>
      </c>
      <c r="AC12" s="24">
        <f t="shared" si="3"/>
        <v>2249420</v>
      </c>
      <c r="AD12" s="2"/>
      <c r="AE12" s="2"/>
      <c r="AF12" s="2"/>
      <c r="AG12" s="2"/>
      <c r="AH12" s="2">
        <v>1</v>
      </c>
      <c r="AI12" s="1"/>
      <c r="AJ12" s="9" t="s">
        <v>60</v>
      </c>
    </row>
    <row r="13" spans="1:36" x14ac:dyDescent="0.3">
      <c r="A13" s="2">
        <v>9</v>
      </c>
      <c r="B13" s="12">
        <v>41627</v>
      </c>
      <c r="C13" s="36">
        <f t="shared" si="4"/>
        <v>2013</v>
      </c>
      <c r="D13" s="24"/>
      <c r="E13" s="24"/>
      <c r="F13" s="2"/>
      <c r="G13" s="2"/>
      <c r="H13" s="2"/>
      <c r="I13" s="2"/>
      <c r="J13" s="2">
        <v>1</v>
      </c>
      <c r="K13" s="2"/>
      <c r="L13" s="2"/>
      <c r="M13" s="2">
        <v>9</v>
      </c>
      <c r="N13" s="23">
        <v>43272</v>
      </c>
      <c r="O13" s="36">
        <f t="shared" si="1"/>
        <v>2018</v>
      </c>
      <c r="P13" s="1">
        <v>14222514</v>
      </c>
      <c r="Q13" s="24">
        <f t="shared" si="5"/>
        <v>957229</v>
      </c>
      <c r="R13" s="1"/>
      <c r="S13" s="3"/>
      <c r="T13" s="3"/>
      <c r="U13" s="2"/>
      <c r="V13" s="2">
        <v>1</v>
      </c>
      <c r="W13" s="1"/>
      <c r="X13" s="22"/>
      <c r="Y13" s="2">
        <v>8</v>
      </c>
      <c r="Z13" s="12">
        <v>43660</v>
      </c>
      <c r="AA13" s="36">
        <f t="shared" si="2"/>
        <v>2019</v>
      </c>
      <c r="AB13" s="1">
        <v>13348421</v>
      </c>
      <c r="AC13" s="24">
        <f t="shared" si="3"/>
        <v>1652305</v>
      </c>
      <c r="AD13" s="2">
        <v>1</v>
      </c>
      <c r="AE13" s="2">
        <v>1</v>
      </c>
      <c r="AF13" s="2"/>
      <c r="AG13" s="2"/>
      <c r="AH13" s="2"/>
      <c r="AI13" s="1"/>
      <c r="AJ13" s="31" t="s">
        <v>61</v>
      </c>
    </row>
    <row r="14" spans="1:36" ht="22.8" x14ac:dyDescent="0.3">
      <c r="A14" s="2">
        <v>10</v>
      </c>
      <c r="B14" s="12">
        <v>43000</v>
      </c>
      <c r="C14" s="36">
        <f t="shared" si="4"/>
        <v>2017</v>
      </c>
      <c r="D14" s="24">
        <v>18276022</v>
      </c>
      <c r="E14" s="24">
        <f>+D14-D13</f>
        <v>18276022</v>
      </c>
      <c r="F14" s="2">
        <v>1</v>
      </c>
      <c r="G14" s="2">
        <v>1</v>
      </c>
      <c r="H14" s="2">
        <v>1</v>
      </c>
      <c r="I14" s="2">
        <v>1</v>
      </c>
      <c r="J14" s="2"/>
      <c r="K14" s="2"/>
      <c r="L14" s="2"/>
      <c r="M14" s="2">
        <v>10</v>
      </c>
      <c r="N14" s="23">
        <v>43466</v>
      </c>
      <c r="O14" s="36">
        <f t="shared" si="1"/>
        <v>2019</v>
      </c>
      <c r="P14" s="1">
        <v>16421700</v>
      </c>
      <c r="Q14" s="24">
        <f t="shared" si="5"/>
        <v>2199186</v>
      </c>
      <c r="R14" s="1"/>
      <c r="S14" s="3"/>
      <c r="T14" s="3"/>
      <c r="U14" s="2"/>
      <c r="V14" s="2">
        <v>1</v>
      </c>
      <c r="W14" s="1"/>
      <c r="X14" s="22"/>
      <c r="Y14" s="2"/>
      <c r="Z14" s="12">
        <v>43748</v>
      </c>
      <c r="AA14" s="36">
        <f t="shared" si="2"/>
        <v>2019</v>
      </c>
      <c r="AB14" s="1">
        <v>14245901</v>
      </c>
      <c r="AC14" s="24">
        <f t="shared" si="3"/>
        <v>897480</v>
      </c>
      <c r="AD14" s="2">
        <v>1</v>
      </c>
      <c r="AE14" s="2">
        <v>1</v>
      </c>
      <c r="AF14" s="2">
        <v>1</v>
      </c>
      <c r="AG14" s="2">
        <v>1</v>
      </c>
      <c r="AH14" s="2"/>
      <c r="AI14" s="2"/>
      <c r="AJ14" s="32" t="s">
        <v>62</v>
      </c>
    </row>
    <row r="15" spans="1:36" x14ac:dyDescent="0.3">
      <c r="A15" s="2">
        <v>11</v>
      </c>
      <c r="B15" s="12">
        <v>43300</v>
      </c>
      <c r="C15" s="36">
        <f t="shared" si="4"/>
        <v>2018</v>
      </c>
      <c r="D15" s="24">
        <v>19767640</v>
      </c>
      <c r="E15" s="24">
        <f t="shared" ref="E15:E33" si="6">+D15-D14</f>
        <v>1491618</v>
      </c>
      <c r="F15" s="2"/>
      <c r="G15" s="2"/>
      <c r="H15" s="2"/>
      <c r="I15" s="2"/>
      <c r="J15" s="2">
        <v>1</v>
      </c>
      <c r="K15" s="2"/>
      <c r="L15" s="2"/>
      <c r="M15" s="2">
        <v>11</v>
      </c>
      <c r="N15" s="23">
        <v>43707</v>
      </c>
      <c r="O15" s="36">
        <f t="shared" si="1"/>
        <v>2019</v>
      </c>
      <c r="P15" s="1">
        <v>18399568</v>
      </c>
      <c r="Q15" s="24">
        <f t="shared" si="5"/>
        <v>1977868</v>
      </c>
      <c r="R15" s="1"/>
      <c r="S15" s="3"/>
      <c r="T15" s="1">
        <v>1</v>
      </c>
      <c r="U15" s="2"/>
      <c r="V15" s="2"/>
      <c r="W15" s="1"/>
      <c r="X15" s="22"/>
      <c r="Y15" s="2"/>
      <c r="Z15" s="12">
        <v>43808</v>
      </c>
      <c r="AA15" s="36">
        <f t="shared" si="2"/>
        <v>2019</v>
      </c>
      <c r="AB15" s="1">
        <v>15014846</v>
      </c>
      <c r="AC15" s="24">
        <f t="shared" si="3"/>
        <v>768945</v>
      </c>
      <c r="AD15" s="2">
        <v>1</v>
      </c>
      <c r="AE15" s="2">
        <v>1</v>
      </c>
      <c r="AF15" s="2" t="s">
        <v>55</v>
      </c>
      <c r="AG15" s="2" t="s">
        <v>55</v>
      </c>
      <c r="AH15" s="2"/>
      <c r="AI15" s="2"/>
      <c r="AJ15" s="9" t="s">
        <v>63</v>
      </c>
    </row>
    <row r="16" spans="1:36" x14ac:dyDescent="0.3">
      <c r="A16" s="2">
        <v>12</v>
      </c>
      <c r="B16" s="12">
        <v>43339</v>
      </c>
      <c r="C16" s="36">
        <f t="shared" si="4"/>
        <v>2018</v>
      </c>
      <c r="D16" s="24">
        <v>20069146</v>
      </c>
      <c r="E16" s="24">
        <f t="shared" si="6"/>
        <v>301506</v>
      </c>
      <c r="F16" s="2"/>
      <c r="G16" s="2"/>
      <c r="H16" s="2"/>
      <c r="I16" s="2"/>
      <c r="J16" s="2">
        <v>1</v>
      </c>
      <c r="K16" s="2"/>
      <c r="L16" s="2"/>
      <c r="M16" s="2">
        <v>12</v>
      </c>
      <c r="N16" s="23">
        <v>43776</v>
      </c>
      <c r="O16" s="36">
        <f t="shared" si="1"/>
        <v>2019</v>
      </c>
      <c r="P16" s="1">
        <v>19380044</v>
      </c>
      <c r="Q16" s="24">
        <f t="shared" si="5"/>
        <v>980476</v>
      </c>
      <c r="R16" s="1">
        <v>1</v>
      </c>
      <c r="S16" s="1">
        <v>1</v>
      </c>
      <c r="T16" s="1">
        <v>1</v>
      </c>
      <c r="U16" s="2">
        <v>1</v>
      </c>
      <c r="V16" s="2">
        <v>1</v>
      </c>
      <c r="W16" s="1"/>
      <c r="X16" s="21"/>
      <c r="Y16" s="2"/>
      <c r="Z16" s="10">
        <v>44162</v>
      </c>
      <c r="AA16" s="36">
        <f t="shared" si="2"/>
        <v>2020</v>
      </c>
      <c r="AB16" s="1">
        <v>16042066</v>
      </c>
      <c r="AC16" s="24">
        <f t="shared" si="3"/>
        <v>1027220</v>
      </c>
      <c r="AD16" s="2"/>
      <c r="AE16" s="2"/>
      <c r="AF16" s="2">
        <v>1</v>
      </c>
      <c r="AG16" s="2"/>
      <c r="AH16" s="2"/>
      <c r="AI16" s="1"/>
      <c r="AJ16" s="9"/>
    </row>
    <row r="17" spans="1:36" x14ac:dyDescent="0.3">
      <c r="A17" s="2">
        <v>13</v>
      </c>
      <c r="B17" s="12">
        <v>43362</v>
      </c>
      <c r="C17" s="36">
        <f t="shared" si="4"/>
        <v>2018</v>
      </c>
      <c r="D17" s="24">
        <v>20268732</v>
      </c>
      <c r="E17" s="24">
        <f t="shared" si="6"/>
        <v>199586</v>
      </c>
      <c r="F17" s="2">
        <v>1</v>
      </c>
      <c r="G17" s="2">
        <v>1</v>
      </c>
      <c r="H17" s="2">
        <v>1</v>
      </c>
      <c r="I17" s="2">
        <v>1</v>
      </c>
      <c r="J17" s="2"/>
      <c r="K17" s="2"/>
      <c r="L17" s="2"/>
      <c r="M17" s="2">
        <v>13</v>
      </c>
      <c r="N17" s="23">
        <v>44021</v>
      </c>
      <c r="O17" s="36">
        <f t="shared" si="1"/>
        <v>2020</v>
      </c>
      <c r="P17" s="1">
        <v>21130918</v>
      </c>
      <c r="Q17" s="24">
        <f t="shared" si="5"/>
        <v>1750874</v>
      </c>
      <c r="R17" s="1"/>
      <c r="S17" s="1"/>
      <c r="T17" s="1"/>
      <c r="U17" s="2"/>
      <c r="V17" s="2">
        <v>1</v>
      </c>
      <c r="W17" s="1"/>
      <c r="X17" s="21"/>
      <c r="Y17" s="2"/>
      <c r="Z17" s="10">
        <v>44187</v>
      </c>
      <c r="AA17" s="36">
        <f t="shared" si="2"/>
        <v>2020</v>
      </c>
      <c r="AB17" s="1">
        <v>16448655</v>
      </c>
      <c r="AC17" s="24">
        <f t="shared" si="3"/>
        <v>406589</v>
      </c>
      <c r="AD17" s="2"/>
      <c r="AE17" s="2"/>
      <c r="AF17" s="2">
        <v>1</v>
      </c>
      <c r="AG17" s="2"/>
      <c r="AH17" s="2"/>
      <c r="AI17" s="1"/>
      <c r="AJ17" s="9" t="s">
        <v>64</v>
      </c>
    </row>
    <row r="18" spans="1:36" x14ac:dyDescent="0.3">
      <c r="A18" s="2">
        <v>14</v>
      </c>
      <c r="B18" s="12">
        <v>43426</v>
      </c>
      <c r="C18" s="36">
        <f t="shared" si="4"/>
        <v>2018</v>
      </c>
      <c r="D18" s="24">
        <v>20984620</v>
      </c>
      <c r="E18" s="24">
        <f t="shared" si="6"/>
        <v>715888</v>
      </c>
      <c r="F18" s="2"/>
      <c r="G18" s="2"/>
      <c r="H18" s="2">
        <v>1</v>
      </c>
      <c r="I18" s="2"/>
      <c r="J18" s="2"/>
      <c r="K18" s="2"/>
      <c r="L18" s="2"/>
      <c r="M18" s="2">
        <v>14</v>
      </c>
      <c r="N18" s="23">
        <v>44095</v>
      </c>
      <c r="O18" s="36">
        <f t="shared" si="1"/>
        <v>2020</v>
      </c>
      <c r="P18" s="1">
        <v>22044156</v>
      </c>
      <c r="Q18" s="24">
        <f t="shared" si="5"/>
        <v>913238</v>
      </c>
      <c r="R18" s="1"/>
      <c r="S18" s="1"/>
      <c r="T18" s="1"/>
      <c r="U18" s="2"/>
      <c r="V18" s="2">
        <v>1</v>
      </c>
      <c r="W18" s="1"/>
      <c r="X18" s="21"/>
      <c r="Y18" s="2"/>
      <c r="Z18" s="10">
        <v>44194</v>
      </c>
      <c r="AA18" s="36">
        <f t="shared" si="2"/>
        <v>2020</v>
      </c>
      <c r="AB18" s="1">
        <v>16510469</v>
      </c>
      <c r="AC18" s="24">
        <f t="shared" si="3"/>
        <v>61814</v>
      </c>
      <c r="AD18" s="2"/>
      <c r="AE18" s="2"/>
      <c r="AF18" s="2"/>
      <c r="AG18" s="2">
        <v>1</v>
      </c>
      <c r="AH18" s="2">
        <v>1</v>
      </c>
      <c r="AI18" s="1"/>
      <c r="AJ18" s="9" t="s">
        <v>65</v>
      </c>
    </row>
    <row r="19" spans="1:36" x14ac:dyDescent="0.3">
      <c r="A19" s="2">
        <v>15</v>
      </c>
      <c r="B19" s="12">
        <v>43460</v>
      </c>
      <c r="C19" s="36">
        <f t="shared" si="4"/>
        <v>2018</v>
      </c>
      <c r="D19" s="24">
        <v>21270690</v>
      </c>
      <c r="E19" s="24">
        <f t="shared" si="6"/>
        <v>286070</v>
      </c>
      <c r="F19" s="2"/>
      <c r="G19" s="2"/>
      <c r="H19" s="2">
        <v>1</v>
      </c>
      <c r="I19" s="2"/>
      <c r="J19" s="2"/>
      <c r="K19" s="2"/>
      <c r="L19" s="2"/>
      <c r="M19" s="2">
        <v>15</v>
      </c>
      <c r="N19" s="23">
        <v>44214</v>
      </c>
      <c r="O19" s="36">
        <f t="shared" si="1"/>
        <v>2021</v>
      </c>
      <c r="P19" s="1">
        <v>23287116</v>
      </c>
      <c r="Q19" s="24">
        <f t="shared" si="5"/>
        <v>1242960</v>
      </c>
      <c r="R19" s="1"/>
      <c r="S19" s="1"/>
      <c r="T19" s="1"/>
      <c r="U19" s="2"/>
      <c r="V19" s="2">
        <v>1</v>
      </c>
      <c r="W19" s="1"/>
      <c r="X19" s="21"/>
      <c r="Y19" s="2"/>
      <c r="Z19" s="10">
        <v>44208</v>
      </c>
      <c r="AA19" s="36">
        <f t="shared" si="2"/>
        <v>2021</v>
      </c>
      <c r="AB19" s="1">
        <v>16717357</v>
      </c>
      <c r="AC19" s="24">
        <f t="shared" si="3"/>
        <v>206888</v>
      </c>
      <c r="AD19" s="2">
        <v>1</v>
      </c>
      <c r="AE19" s="2">
        <v>1</v>
      </c>
      <c r="AF19" s="2">
        <v>1</v>
      </c>
      <c r="AG19" s="2">
        <v>1</v>
      </c>
      <c r="AH19" s="2"/>
      <c r="AI19" s="1"/>
      <c r="AJ19" s="9" t="s">
        <v>66</v>
      </c>
    </row>
    <row r="20" spans="1:36" x14ac:dyDescent="0.3">
      <c r="A20" s="2">
        <v>16</v>
      </c>
      <c r="B20" s="12">
        <v>43461</v>
      </c>
      <c r="C20" s="36">
        <f t="shared" si="4"/>
        <v>2018</v>
      </c>
      <c r="D20" s="24">
        <v>21271228</v>
      </c>
      <c r="E20" s="24">
        <f t="shared" si="6"/>
        <v>538</v>
      </c>
      <c r="F20" s="2">
        <v>1</v>
      </c>
      <c r="G20" s="2">
        <v>1</v>
      </c>
      <c r="H20" s="2">
        <v>1</v>
      </c>
      <c r="I20" s="2">
        <v>1</v>
      </c>
      <c r="J20" s="2"/>
      <c r="K20" s="2"/>
      <c r="L20" s="2"/>
      <c r="M20" s="2">
        <v>16</v>
      </c>
      <c r="N20" s="23">
        <v>44248</v>
      </c>
      <c r="O20" s="36">
        <f t="shared" si="1"/>
        <v>2021</v>
      </c>
      <c r="P20" s="1">
        <v>23530088</v>
      </c>
      <c r="Q20" s="24">
        <f t="shared" si="5"/>
        <v>242972</v>
      </c>
      <c r="R20" s="1">
        <v>1</v>
      </c>
      <c r="S20" s="1">
        <v>1</v>
      </c>
      <c r="T20" s="1">
        <v>1</v>
      </c>
      <c r="U20" s="2">
        <v>1</v>
      </c>
      <c r="V20" s="2"/>
      <c r="W20" s="35"/>
      <c r="X20" s="21"/>
      <c r="Y20" s="2"/>
      <c r="Z20" s="10">
        <v>44522</v>
      </c>
      <c r="AA20" s="36">
        <f t="shared" si="2"/>
        <v>2021</v>
      </c>
      <c r="AB20" s="1">
        <v>17875822</v>
      </c>
      <c r="AC20" s="24">
        <f t="shared" si="3"/>
        <v>1158465</v>
      </c>
      <c r="AD20" s="2"/>
      <c r="AE20" s="2"/>
      <c r="AF20" s="2"/>
      <c r="AG20" s="2"/>
      <c r="AH20" s="2">
        <v>1</v>
      </c>
      <c r="AI20" s="1"/>
      <c r="AJ20" s="9"/>
    </row>
    <row r="21" spans="1:36" x14ac:dyDescent="0.3">
      <c r="A21" s="2">
        <v>17</v>
      </c>
      <c r="B21" s="12">
        <v>43467</v>
      </c>
      <c r="C21" s="36">
        <f t="shared" si="4"/>
        <v>2019</v>
      </c>
      <c r="D21" s="24">
        <v>21330460</v>
      </c>
      <c r="E21" s="24">
        <f t="shared" si="6"/>
        <v>59232</v>
      </c>
      <c r="F21" s="2"/>
      <c r="G21" s="2"/>
      <c r="H21" s="2">
        <v>1</v>
      </c>
      <c r="I21" s="2"/>
      <c r="J21" s="2"/>
      <c r="K21" s="2"/>
      <c r="L21" s="2"/>
      <c r="M21" s="2">
        <v>17</v>
      </c>
      <c r="N21" s="23">
        <v>44816</v>
      </c>
      <c r="O21" s="36">
        <f t="shared" si="1"/>
        <v>2022</v>
      </c>
      <c r="P21" s="1">
        <v>24591644</v>
      </c>
      <c r="Q21" s="24">
        <f t="shared" si="5"/>
        <v>1061556</v>
      </c>
      <c r="R21" s="1">
        <v>1</v>
      </c>
      <c r="S21" s="1">
        <v>1</v>
      </c>
      <c r="T21" s="1">
        <v>1</v>
      </c>
      <c r="U21" s="2">
        <v>1</v>
      </c>
      <c r="V21" s="2"/>
      <c r="W21" s="1"/>
      <c r="X21" s="21"/>
      <c r="Y21" s="2"/>
      <c r="Z21" s="10">
        <v>44778</v>
      </c>
      <c r="AA21" s="36">
        <f t="shared" si="2"/>
        <v>2022</v>
      </c>
      <c r="AB21" s="1">
        <v>18829604</v>
      </c>
      <c r="AC21" s="24">
        <f t="shared" si="3"/>
        <v>953782</v>
      </c>
      <c r="AD21" s="2"/>
      <c r="AE21" s="2"/>
      <c r="AF21" s="2"/>
      <c r="AG21" s="2">
        <v>1</v>
      </c>
      <c r="AH21" s="2"/>
      <c r="AI21" s="1"/>
      <c r="AJ21" s="9"/>
    </row>
    <row r="22" spans="1:36" x14ac:dyDescent="0.3">
      <c r="A22" s="2">
        <v>18</v>
      </c>
      <c r="B22" s="12">
        <v>43512</v>
      </c>
      <c r="C22" s="36">
        <f t="shared" si="4"/>
        <v>2019</v>
      </c>
      <c r="D22" s="24">
        <v>21430076</v>
      </c>
      <c r="E22" s="24">
        <f t="shared" si="6"/>
        <v>99616</v>
      </c>
      <c r="F22" s="2">
        <v>1</v>
      </c>
      <c r="G22" s="2">
        <v>1</v>
      </c>
      <c r="H22" s="2">
        <v>1</v>
      </c>
      <c r="I22" s="2">
        <v>1</v>
      </c>
      <c r="J22" s="2"/>
      <c r="K22" s="2"/>
      <c r="L22" s="2"/>
      <c r="M22" s="2">
        <v>18</v>
      </c>
      <c r="N22" s="23">
        <v>45001</v>
      </c>
      <c r="O22" s="36">
        <f t="shared" si="1"/>
        <v>2023</v>
      </c>
      <c r="P22" s="1">
        <v>26770832</v>
      </c>
      <c r="Q22" s="24">
        <f t="shared" si="5"/>
        <v>2179188</v>
      </c>
      <c r="R22" s="1"/>
      <c r="S22" s="1"/>
      <c r="T22" s="1"/>
      <c r="U22" s="2"/>
      <c r="V22" s="2">
        <v>1</v>
      </c>
      <c r="W22" s="1"/>
      <c r="X22" s="21"/>
      <c r="Y22" s="2"/>
      <c r="Z22" s="10">
        <v>44802</v>
      </c>
      <c r="AA22" s="36">
        <f t="shared" si="2"/>
        <v>2022</v>
      </c>
      <c r="AB22" s="1">
        <v>19049920</v>
      </c>
      <c r="AC22" s="24">
        <f t="shared" si="3"/>
        <v>220316</v>
      </c>
      <c r="AD22" s="2">
        <v>1</v>
      </c>
      <c r="AE22" s="2">
        <v>1</v>
      </c>
      <c r="AF22" s="2">
        <v>1</v>
      </c>
      <c r="AG22" s="2">
        <v>1</v>
      </c>
      <c r="AH22" s="2"/>
      <c r="AI22" s="1"/>
      <c r="AJ22" s="9" t="s">
        <v>67</v>
      </c>
    </row>
    <row r="23" spans="1:36" x14ac:dyDescent="0.3">
      <c r="A23" s="2">
        <v>19</v>
      </c>
      <c r="B23" s="12">
        <v>43743</v>
      </c>
      <c r="C23" s="36">
        <f t="shared" si="4"/>
        <v>2019</v>
      </c>
      <c r="D23" s="24">
        <v>23072302</v>
      </c>
      <c r="E23" s="24">
        <f t="shared" si="6"/>
        <v>1642226</v>
      </c>
      <c r="F23" s="2"/>
      <c r="G23" s="2"/>
      <c r="H23" s="2"/>
      <c r="I23" s="2"/>
      <c r="J23" s="2">
        <v>1</v>
      </c>
      <c r="K23" s="2"/>
      <c r="L23" s="2"/>
      <c r="M23" s="2">
        <v>19</v>
      </c>
      <c r="N23" s="23">
        <v>45144</v>
      </c>
      <c r="O23" s="36">
        <f t="shared" si="1"/>
        <v>2023</v>
      </c>
      <c r="P23" s="1">
        <v>28740414</v>
      </c>
      <c r="Q23" s="24">
        <f t="shared" si="5"/>
        <v>1969582</v>
      </c>
      <c r="R23" s="1">
        <v>1</v>
      </c>
      <c r="S23" s="1">
        <v>1</v>
      </c>
      <c r="T23" s="1">
        <v>1</v>
      </c>
      <c r="U23" s="2">
        <v>1</v>
      </c>
      <c r="V23" s="2"/>
      <c r="W23" s="1"/>
      <c r="X23" s="21"/>
      <c r="Y23" s="2"/>
      <c r="Z23" s="10">
        <v>44838</v>
      </c>
      <c r="AA23" s="36">
        <f t="shared" si="2"/>
        <v>2022</v>
      </c>
      <c r="AB23" s="1">
        <v>19470924</v>
      </c>
      <c r="AC23" s="24">
        <f t="shared" si="3"/>
        <v>421004</v>
      </c>
      <c r="AD23" s="2"/>
      <c r="AE23" s="2"/>
      <c r="AF23" s="2"/>
      <c r="AG23" s="2"/>
      <c r="AH23" s="2">
        <v>1</v>
      </c>
      <c r="AI23" s="1"/>
      <c r="AJ23" s="9" t="s">
        <v>60</v>
      </c>
    </row>
    <row r="24" spans="1:36" x14ac:dyDescent="0.3">
      <c r="A24" s="2"/>
      <c r="B24" s="12">
        <v>44024</v>
      </c>
      <c r="C24" s="36">
        <f t="shared" si="4"/>
        <v>2020</v>
      </c>
      <c r="D24" s="24">
        <v>24347084</v>
      </c>
      <c r="E24" s="24">
        <f t="shared" si="6"/>
        <v>1274782</v>
      </c>
      <c r="F24" s="2"/>
      <c r="G24" s="2"/>
      <c r="H24" s="2">
        <v>1</v>
      </c>
      <c r="I24" s="2"/>
      <c r="J24" s="2"/>
      <c r="K24" s="2"/>
      <c r="L24" s="2"/>
      <c r="M24" s="2">
        <v>20</v>
      </c>
      <c r="N24" s="23">
        <v>45190</v>
      </c>
      <c r="O24" s="36">
        <f t="shared" si="1"/>
        <v>2023</v>
      </c>
      <c r="P24" s="1">
        <v>29401546</v>
      </c>
      <c r="Q24" s="24">
        <f t="shared" si="5"/>
        <v>661132</v>
      </c>
      <c r="R24" s="1"/>
      <c r="S24" s="1"/>
      <c r="T24" s="1">
        <v>1</v>
      </c>
      <c r="U24" s="2"/>
      <c r="V24" s="2"/>
      <c r="W24" s="1"/>
      <c r="X24" s="21"/>
      <c r="Y24" s="2"/>
      <c r="Z24" s="10">
        <v>45049</v>
      </c>
      <c r="AA24" s="36">
        <f t="shared" si="2"/>
        <v>2023</v>
      </c>
      <c r="AB24" s="1">
        <v>21794044</v>
      </c>
      <c r="AC24" s="24">
        <f t="shared" si="3"/>
        <v>2323120</v>
      </c>
      <c r="AD24" s="2"/>
      <c r="AE24" s="2"/>
      <c r="AF24" s="2"/>
      <c r="AG24" s="2">
        <v>1</v>
      </c>
      <c r="AH24" s="2"/>
      <c r="AI24" s="1"/>
      <c r="AJ24" s="9" t="s">
        <v>60</v>
      </c>
    </row>
    <row r="25" spans="1:36" x14ac:dyDescent="0.3">
      <c r="A25" s="2">
        <v>20</v>
      </c>
      <c r="B25" s="12">
        <v>44034</v>
      </c>
      <c r="C25" s="36">
        <f t="shared" si="4"/>
        <v>2020</v>
      </c>
      <c r="D25" s="24">
        <v>24436140</v>
      </c>
      <c r="E25" s="24">
        <f t="shared" si="6"/>
        <v>89056</v>
      </c>
      <c r="F25" s="2"/>
      <c r="G25" s="2"/>
      <c r="H25" s="2"/>
      <c r="I25" s="2">
        <v>1</v>
      </c>
      <c r="J25" s="2"/>
      <c r="K25" s="2"/>
      <c r="L25" s="2"/>
      <c r="M25" s="2">
        <v>21</v>
      </c>
      <c r="N25" s="23">
        <v>45228</v>
      </c>
      <c r="O25" s="36">
        <f t="shared" si="1"/>
        <v>2023</v>
      </c>
      <c r="P25" s="1">
        <v>29894128</v>
      </c>
      <c r="Q25" s="24">
        <f>+P25-P24</f>
        <v>492582</v>
      </c>
      <c r="R25" s="1"/>
      <c r="S25" s="1"/>
      <c r="T25" s="1"/>
      <c r="U25" s="2"/>
      <c r="V25" s="2">
        <v>1</v>
      </c>
      <c r="W25" s="1"/>
      <c r="X25" s="21"/>
      <c r="Y25" s="2"/>
      <c r="Z25" s="10">
        <v>45084</v>
      </c>
      <c r="AA25" s="36">
        <f t="shared" si="2"/>
        <v>2023</v>
      </c>
      <c r="AB25" s="1">
        <v>22209716</v>
      </c>
      <c r="AC25" s="24">
        <f>+AB25-AB24</f>
        <v>415672</v>
      </c>
      <c r="AD25" s="2"/>
      <c r="AE25" s="2"/>
      <c r="AF25" s="2"/>
      <c r="AG25" s="2"/>
      <c r="AH25" s="2">
        <v>1</v>
      </c>
      <c r="AI25" s="1"/>
      <c r="AJ25" s="9" t="s">
        <v>60</v>
      </c>
    </row>
    <row r="26" spans="1:36" x14ac:dyDescent="0.3">
      <c r="A26" s="2">
        <v>21</v>
      </c>
      <c r="B26" s="12">
        <v>44132</v>
      </c>
      <c r="C26" s="36">
        <f t="shared" si="4"/>
        <v>2020</v>
      </c>
      <c r="D26" s="24">
        <v>25812076</v>
      </c>
      <c r="E26" s="24">
        <f t="shared" si="6"/>
        <v>1375936</v>
      </c>
      <c r="F26" s="2"/>
      <c r="G26" s="2"/>
      <c r="H26" s="2"/>
      <c r="I26" s="2"/>
      <c r="J26" s="2">
        <v>1</v>
      </c>
      <c r="K26" s="2"/>
      <c r="L26" s="2"/>
      <c r="M26" s="2">
        <v>22</v>
      </c>
      <c r="N26" s="23">
        <v>45231</v>
      </c>
      <c r="O26" s="36">
        <f t="shared" si="1"/>
        <v>2023</v>
      </c>
      <c r="P26" s="1">
        <v>29931888</v>
      </c>
      <c r="Q26" s="24">
        <f>+P26-P25</f>
        <v>37760</v>
      </c>
      <c r="R26" s="1"/>
      <c r="S26" s="1"/>
      <c r="T26" s="1">
        <v>1</v>
      </c>
      <c r="U26" s="2">
        <v>1</v>
      </c>
      <c r="V26" s="2"/>
      <c r="W26" s="1"/>
      <c r="X26" s="21"/>
      <c r="Y26" s="2"/>
      <c r="Z26" s="10">
        <v>45172</v>
      </c>
      <c r="AA26" s="36">
        <f t="shared" si="2"/>
        <v>2023</v>
      </c>
      <c r="AB26" s="1">
        <v>23351898</v>
      </c>
      <c r="AC26" s="24">
        <f>+AB26-AB25</f>
        <v>1142182</v>
      </c>
      <c r="AD26" s="2">
        <v>1</v>
      </c>
      <c r="AE26" s="2">
        <v>1</v>
      </c>
      <c r="AF26" s="2">
        <v>1</v>
      </c>
      <c r="AG26" s="2">
        <v>1</v>
      </c>
      <c r="AH26" s="2"/>
      <c r="AI26" s="1"/>
      <c r="AJ26" s="9" t="s">
        <v>68</v>
      </c>
    </row>
    <row r="27" spans="1:36" x14ac:dyDescent="0.3">
      <c r="A27" s="2">
        <v>22</v>
      </c>
      <c r="B27" s="12">
        <v>44201</v>
      </c>
      <c r="C27" s="36">
        <f t="shared" si="4"/>
        <v>2021</v>
      </c>
      <c r="D27" s="24">
        <v>26607844</v>
      </c>
      <c r="E27" s="24">
        <f t="shared" si="6"/>
        <v>795768</v>
      </c>
      <c r="F27" s="2">
        <v>1</v>
      </c>
      <c r="G27" s="2">
        <v>1</v>
      </c>
      <c r="H27" s="2">
        <v>1</v>
      </c>
      <c r="I27" s="2">
        <v>1</v>
      </c>
      <c r="J27" s="2"/>
      <c r="K27" s="2"/>
      <c r="L27" s="2"/>
      <c r="M27" s="2">
        <v>23</v>
      </c>
      <c r="N27" s="12">
        <v>45247</v>
      </c>
      <c r="O27" s="36">
        <f t="shared" si="1"/>
        <v>2023</v>
      </c>
      <c r="P27" s="12"/>
      <c r="Q27" s="12"/>
      <c r="R27" s="12"/>
      <c r="S27" s="12"/>
      <c r="T27" s="21"/>
      <c r="U27" s="2">
        <v>1</v>
      </c>
      <c r="V27" s="2"/>
      <c r="W27" s="1"/>
      <c r="X27" s="21" t="s">
        <v>78</v>
      </c>
      <c r="Y27" s="2"/>
      <c r="Z27" s="10">
        <v>45183</v>
      </c>
      <c r="AA27" s="36">
        <f t="shared" si="2"/>
        <v>2023</v>
      </c>
      <c r="AB27" s="35"/>
      <c r="AC27" s="24">
        <f t="shared" ref="AC27:AC28" si="7">+AB27-AB26</f>
        <v>-23351898</v>
      </c>
      <c r="AD27" s="35"/>
      <c r="AE27" s="35"/>
      <c r="AF27" s="35">
        <v>1</v>
      </c>
      <c r="AG27" s="35"/>
      <c r="AH27" s="35"/>
      <c r="AI27" s="35"/>
      <c r="AJ27" s="35"/>
    </row>
    <row r="28" spans="1:36" x14ac:dyDescent="0.3">
      <c r="A28" s="2">
        <v>23</v>
      </c>
      <c r="B28" s="12">
        <v>44735</v>
      </c>
      <c r="C28" s="36">
        <f t="shared" si="4"/>
        <v>2022</v>
      </c>
      <c r="D28" s="24">
        <v>28333374</v>
      </c>
      <c r="E28" s="24">
        <f t="shared" si="6"/>
        <v>1725530</v>
      </c>
      <c r="F28" s="35"/>
      <c r="G28" s="35"/>
      <c r="H28" s="35"/>
      <c r="I28" s="35"/>
      <c r="J28" s="35">
        <v>1</v>
      </c>
      <c r="K28" s="2"/>
      <c r="L28" s="2"/>
      <c r="M28" s="2"/>
      <c r="N28" s="12">
        <v>45278</v>
      </c>
      <c r="O28" s="36">
        <f t="shared" si="1"/>
        <v>2023</v>
      </c>
      <c r="P28" s="35"/>
      <c r="Q28" s="35"/>
      <c r="R28" s="35"/>
      <c r="S28" s="35"/>
      <c r="T28" s="35"/>
      <c r="U28" s="2">
        <v>1</v>
      </c>
      <c r="V28" s="35"/>
      <c r="W28" s="1"/>
      <c r="X28" s="21" t="s">
        <v>78</v>
      </c>
      <c r="Y28" s="2"/>
      <c r="Z28" s="10">
        <v>45274</v>
      </c>
      <c r="AA28" s="36">
        <f t="shared" si="2"/>
        <v>2023</v>
      </c>
      <c r="AB28" s="1"/>
      <c r="AC28" s="24">
        <f t="shared" si="7"/>
        <v>0</v>
      </c>
      <c r="AD28" s="1"/>
      <c r="AE28" s="1"/>
      <c r="AF28" s="3"/>
      <c r="AG28" s="3"/>
      <c r="AH28" s="2">
        <v>1</v>
      </c>
      <c r="AI28" s="1"/>
      <c r="AJ28" s="9"/>
    </row>
    <row r="29" spans="1:36" x14ac:dyDescent="0.3">
      <c r="A29" s="2">
        <v>24</v>
      </c>
      <c r="B29" s="12">
        <v>44910</v>
      </c>
      <c r="C29" s="36">
        <f t="shared" si="4"/>
        <v>2022</v>
      </c>
      <c r="D29" s="24">
        <v>30078980</v>
      </c>
      <c r="E29" s="24">
        <f t="shared" si="6"/>
        <v>1745606</v>
      </c>
      <c r="F29" s="35"/>
      <c r="G29" s="35"/>
      <c r="H29" s="35"/>
      <c r="I29" s="35"/>
      <c r="J29" s="35">
        <v>1</v>
      </c>
      <c r="K29" s="35"/>
      <c r="L29" s="35"/>
      <c r="M29" s="35"/>
      <c r="N29" s="35"/>
      <c r="O29" s="36">
        <f t="shared" si="1"/>
        <v>1900</v>
      </c>
      <c r="P29" s="35"/>
      <c r="Q29" s="24">
        <f>+P29-P27</f>
        <v>0</v>
      </c>
      <c r="R29" s="35"/>
      <c r="S29" s="35"/>
      <c r="T29" s="35"/>
      <c r="U29" s="35"/>
      <c r="V29" s="35"/>
      <c r="W29" s="35"/>
      <c r="X29" s="35"/>
      <c r="Y29" s="35"/>
      <c r="Z29" s="35"/>
      <c r="AA29" s="36">
        <f t="shared" si="2"/>
        <v>1900</v>
      </c>
      <c r="AB29" s="35"/>
      <c r="AC29" s="35"/>
      <c r="AD29" s="35"/>
      <c r="AE29" s="35"/>
      <c r="AF29" s="35"/>
      <c r="AG29" s="35"/>
      <c r="AH29" s="35"/>
      <c r="AI29" s="35"/>
      <c r="AJ29" s="35"/>
    </row>
    <row r="30" spans="1:36" x14ac:dyDescent="0.3">
      <c r="A30" s="2">
        <v>25</v>
      </c>
      <c r="B30" s="12">
        <v>45043</v>
      </c>
      <c r="C30" s="36">
        <f t="shared" si="4"/>
        <v>2023</v>
      </c>
      <c r="D30" s="24">
        <v>31608460</v>
      </c>
      <c r="E30" s="24">
        <f t="shared" si="6"/>
        <v>1529480</v>
      </c>
      <c r="F30" s="35"/>
      <c r="G30" s="35"/>
      <c r="H30" s="35">
        <v>1</v>
      </c>
      <c r="I30" s="35"/>
      <c r="J30" s="35"/>
      <c r="K30" s="35"/>
      <c r="L30" s="35"/>
      <c r="M30" s="35"/>
      <c r="N30" s="35"/>
      <c r="O30" s="36">
        <f t="shared" si="1"/>
        <v>1900</v>
      </c>
      <c r="P30" s="35"/>
      <c r="Q30" s="24">
        <f t="shared" si="5"/>
        <v>0</v>
      </c>
      <c r="R30" s="35"/>
      <c r="S30" s="35"/>
      <c r="T30" s="35"/>
      <c r="U30" s="35"/>
      <c r="V30" s="35"/>
      <c r="W30" s="35"/>
      <c r="X30" s="35"/>
      <c r="Y30" s="35"/>
      <c r="Z30" s="35"/>
      <c r="AA30" s="36">
        <f t="shared" si="2"/>
        <v>1900</v>
      </c>
      <c r="AB30" s="35"/>
      <c r="AC30" s="35"/>
      <c r="AD30" s="35"/>
      <c r="AE30" s="35"/>
      <c r="AF30" s="35"/>
      <c r="AG30" s="35"/>
      <c r="AH30" s="35"/>
      <c r="AI30" s="35"/>
      <c r="AJ30" s="35"/>
    </row>
    <row r="31" spans="1:36" x14ac:dyDescent="0.3">
      <c r="A31" s="2">
        <v>26</v>
      </c>
      <c r="B31" s="12">
        <v>45071</v>
      </c>
      <c r="C31" s="36">
        <f t="shared" si="4"/>
        <v>2023</v>
      </c>
      <c r="D31" s="24">
        <v>31962670</v>
      </c>
      <c r="E31" s="24">
        <f t="shared" si="6"/>
        <v>354210</v>
      </c>
      <c r="F31" s="35"/>
      <c r="G31" s="35"/>
      <c r="H31" s="35"/>
      <c r="I31" s="35">
        <v>1</v>
      </c>
      <c r="J31" s="35"/>
      <c r="K31" s="35"/>
      <c r="L31" s="35"/>
      <c r="M31" s="35"/>
      <c r="N31" s="35"/>
      <c r="O31" s="36">
        <f t="shared" si="1"/>
        <v>1900</v>
      </c>
      <c r="P31" s="35"/>
      <c r="Q31" s="24">
        <f t="shared" si="5"/>
        <v>0</v>
      </c>
      <c r="R31" s="35"/>
      <c r="S31" s="35"/>
      <c r="T31" s="35"/>
      <c r="U31" s="35"/>
      <c r="V31" s="35"/>
      <c r="W31" s="35"/>
      <c r="X31" s="35"/>
      <c r="Y31" s="35"/>
      <c r="Z31" s="35"/>
      <c r="AA31" s="36">
        <f t="shared" si="2"/>
        <v>1900</v>
      </c>
      <c r="AB31" s="35"/>
      <c r="AC31" s="35"/>
      <c r="AD31" s="35"/>
      <c r="AE31" s="35"/>
      <c r="AF31" s="35"/>
      <c r="AG31" s="35"/>
      <c r="AH31" s="35"/>
      <c r="AI31" s="35"/>
      <c r="AJ31" s="35"/>
    </row>
    <row r="32" spans="1:36" x14ac:dyDescent="0.3">
      <c r="A32" s="2">
        <v>27</v>
      </c>
      <c r="B32" s="12">
        <v>45099</v>
      </c>
      <c r="C32" s="36">
        <f t="shared" si="4"/>
        <v>2023</v>
      </c>
      <c r="D32" s="24">
        <v>32267624</v>
      </c>
      <c r="E32" s="24">
        <f t="shared" si="6"/>
        <v>304954</v>
      </c>
      <c r="F32" s="35"/>
      <c r="G32" s="35"/>
      <c r="H32" s="35">
        <v>1</v>
      </c>
      <c r="I32" s="35"/>
      <c r="J32" s="35"/>
      <c r="K32" s="35"/>
      <c r="L32" s="35"/>
      <c r="M32" s="35"/>
      <c r="N32" s="35"/>
      <c r="O32" s="36">
        <f t="shared" si="1"/>
        <v>1900</v>
      </c>
      <c r="P32" s="35"/>
      <c r="Q32" s="24">
        <f t="shared" si="5"/>
        <v>0</v>
      </c>
      <c r="R32" s="35"/>
      <c r="S32" s="35"/>
      <c r="T32" s="35"/>
      <c r="U32" s="35"/>
      <c r="V32" s="35"/>
      <c r="W32" s="35"/>
      <c r="X32" s="35"/>
      <c r="Y32" s="35"/>
      <c r="Z32" s="35"/>
      <c r="AA32" s="36">
        <f t="shared" si="2"/>
        <v>1900</v>
      </c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 x14ac:dyDescent="0.3">
      <c r="A33" s="2">
        <v>28</v>
      </c>
      <c r="B33" s="12">
        <v>45170</v>
      </c>
      <c r="C33" s="36">
        <f t="shared" si="4"/>
        <v>2023</v>
      </c>
      <c r="D33" s="24">
        <v>33323504</v>
      </c>
      <c r="E33" s="24">
        <f t="shared" si="6"/>
        <v>1055880</v>
      </c>
      <c r="F33" s="35"/>
      <c r="G33" s="35"/>
      <c r="H33" s="35"/>
      <c r="I33" s="35"/>
      <c r="J33" s="35">
        <v>1</v>
      </c>
      <c r="K33" s="35"/>
      <c r="L33" s="35"/>
      <c r="M33" s="35"/>
      <c r="N33" s="35"/>
      <c r="O33" s="36">
        <f t="shared" si="1"/>
        <v>1900</v>
      </c>
      <c r="P33" s="35"/>
      <c r="Q33" s="24">
        <f t="shared" si="5"/>
        <v>0</v>
      </c>
      <c r="R33" s="35"/>
      <c r="S33" s="35"/>
      <c r="T33" s="35"/>
      <c r="U33" s="35"/>
      <c r="V33" s="35"/>
      <c r="W33" s="35"/>
      <c r="X33" s="35"/>
      <c r="Y33" s="35"/>
      <c r="Z33" s="35"/>
      <c r="AA33" s="36">
        <f t="shared" si="2"/>
        <v>1900</v>
      </c>
      <c r="AB33" s="35"/>
      <c r="AC33" s="35"/>
      <c r="AD33" s="35"/>
      <c r="AE33" s="35"/>
      <c r="AF33" s="35"/>
      <c r="AG33" s="35"/>
      <c r="AH33" s="35"/>
      <c r="AI33" s="35"/>
      <c r="AJ33" s="35"/>
    </row>
    <row r="34" spans="1:36" x14ac:dyDescent="0.3">
      <c r="A34" s="2">
        <v>29</v>
      </c>
      <c r="B34" s="12">
        <v>45291</v>
      </c>
      <c r="C34" s="36">
        <f t="shared" si="4"/>
        <v>2023</v>
      </c>
      <c r="D34" s="35"/>
      <c r="E34" s="35"/>
      <c r="F34" s="35"/>
      <c r="G34" s="35"/>
      <c r="H34" s="35"/>
      <c r="I34" s="35">
        <v>1</v>
      </c>
      <c r="J34" s="35"/>
      <c r="K34" s="35"/>
      <c r="L34" s="35"/>
      <c r="M34" s="35"/>
      <c r="N34" s="35"/>
      <c r="O34" s="36">
        <f t="shared" si="1"/>
        <v>1900</v>
      </c>
      <c r="P34" s="35"/>
      <c r="Q34" s="24">
        <f t="shared" si="5"/>
        <v>0</v>
      </c>
      <c r="R34" s="35"/>
      <c r="S34" s="35"/>
      <c r="T34" s="35"/>
      <c r="U34" s="35"/>
      <c r="V34" s="35"/>
      <c r="W34" s="35"/>
      <c r="X34" s="35"/>
      <c r="Y34" s="35"/>
      <c r="Z34" s="35"/>
      <c r="AA34" s="36">
        <f t="shared" si="2"/>
        <v>1900</v>
      </c>
      <c r="AB34" s="35"/>
      <c r="AC34" s="35"/>
      <c r="AD34" s="35"/>
      <c r="AE34" s="35"/>
      <c r="AF34" s="35"/>
      <c r="AG34" s="35"/>
      <c r="AH34" s="35"/>
      <c r="AI34" s="35"/>
      <c r="AJ34" s="35"/>
    </row>
    <row r="35" spans="1:36" x14ac:dyDescent="0.3">
      <c r="A35" s="2">
        <v>30</v>
      </c>
      <c r="B35" s="12">
        <v>45383</v>
      </c>
      <c r="C35" s="36">
        <f t="shared" si="4"/>
        <v>2024</v>
      </c>
      <c r="D35" s="35"/>
      <c r="E35" s="35"/>
      <c r="F35" s="35"/>
      <c r="G35" s="35"/>
      <c r="H35" s="35">
        <v>1</v>
      </c>
      <c r="I35" s="35"/>
      <c r="J35" s="35"/>
      <c r="K35" s="35"/>
      <c r="L35" s="35"/>
      <c r="M35" s="35"/>
      <c r="N35" s="35"/>
      <c r="O35" s="36">
        <f t="shared" si="1"/>
        <v>1900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6">
        <f t="shared" si="2"/>
        <v>1900</v>
      </c>
      <c r="AB35" s="35"/>
      <c r="AC35" s="35"/>
      <c r="AD35" s="35"/>
      <c r="AE35" s="35"/>
      <c r="AF35" s="35"/>
      <c r="AG35" s="35"/>
      <c r="AH35" s="35"/>
      <c r="AI35" s="35"/>
      <c r="AJ35" s="35"/>
    </row>
    <row r="36" spans="1:36" x14ac:dyDescent="0.3">
      <c r="A36" s="35"/>
      <c r="B36" s="12"/>
      <c r="C36" s="1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>
        <f t="shared" si="1"/>
        <v>1900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6">
        <f t="shared" si="2"/>
        <v>1900</v>
      </c>
      <c r="AB36" s="35"/>
      <c r="AC36" s="35"/>
      <c r="AD36" s="35"/>
      <c r="AE36" s="35"/>
      <c r="AF36" s="35"/>
      <c r="AG36" s="35"/>
      <c r="AH36" s="35"/>
      <c r="AI36" s="35"/>
      <c r="AJ36" s="35"/>
    </row>
    <row r="37" spans="1:36" x14ac:dyDescent="0.3">
      <c r="A37" s="35"/>
      <c r="B37" s="12" t="s">
        <v>70</v>
      </c>
      <c r="C37" s="12"/>
      <c r="D37" s="35"/>
      <c r="E37" s="35"/>
      <c r="F37" s="35">
        <f>+SUM(F8:F36)</f>
        <v>6</v>
      </c>
      <c r="G37" s="35">
        <f t="shared" ref="G37:AH37" si="8">+SUM(G8:G36)</f>
        <v>6</v>
      </c>
      <c r="H37" s="35">
        <f t="shared" si="8"/>
        <v>15</v>
      </c>
      <c r="I37" s="35">
        <f t="shared" si="8"/>
        <v>12</v>
      </c>
      <c r="J37" s="35">
        <f t="shared" si="8"/>
        <v>9</v>
      </c>
      <c r="K37" s="35"/>
      <c r="L37" s="35"/>
      <c r="M37" s="35"/>
      <c r="N37" s="35"/>
      <c r="O37" s="35"/>
      <c r="P37" s="35"/>
      <c r="Q37" s="35"/>
      <c r="R37" s="35">
        <f t="shared" si="8"/>
        <v>5</v>
      </c>
      <c r="S37" s="35">
        <f t="shared" si="8"/>
        <v>5</v>
      </c>
      <c r="T37" s="35">
        <f t="shared" si="8"/>
        <v>8</v>
      </c>
      <c r="U37" s="35">
        <f t="shared" si="8"/>
        <v>9</v>
      </c>
      <c r="V37" s="35">
        <f t="shared" si="8"/>
        <v>11</v>
      </c>
      <c r="W37" s="35"/>
      <c r="X37" s="35"/>
      <c r="Y37" s="35">
        <f t="shared" si="8"/>
        <v>38</v>
      </c>
      <c r="Z37" s="35"/>
      <c r="AA37" s="35"/>
      <c r="AB37" s="35"/>
      <c r="AC37" s="35"/>
      <c r="AD37" s="35">
        <f t="shared" si="8"/>
        <v>8</v>
      </c>
      <c r="AE37" s="35">
        <f t="shared" si="8"/>
        <v>8</v>
      </c>
      <c r="AF37" s="35">
        <f t="shared" si="8"/>
        <v>10</v>
      </c>
      <c r="AG37" s="35">
        <f t="shared" si="8"/>
        <v>9</v>
      </c>
      <c r="AH37" s="35">
        <f t="shared" si="8"/>
        <v>7</v>
      </c>
      <c r="AI37" s="35"/>
      <c r="AJ37" s="35"/>
    </row>
    <row r="40" spans="1:36" x14ac:dyDescent="0.3">
      <c r="R40" t="s">
        <v>21</v>
      </c>
    </row>
    <row r="44" spans="1:36" x14ac:dyDescent="0.3">
      <c r="R44" s="4"/>
      <c r="S44" s="4"/>
      <c r="T44" s="4"/>
      <c r="U44" s="4"/>
      <c r="V44" s="4"/>
      <c r="X44" s="4"/>
    </row>
    <row r="45" spans="1:36" x14ac:dyDescent="0.3">
      <c r="R45" s="4"/>
      <c r="S45" s="4"/>
      <c r="T45" s="4"/>
      <c r="U45" s="4"/>
      <c r="V45" s="4"/>
      <c r="X45" s="4"/>
    </row>
    <row r="46" spans="1:36" x14ac:dyDescent="0.3">
      <c r="R46" s="4"/>
      <c r="S46" s="4"/>
      <c r="T46" s="4"/>
      <c r="U46" s="4"/>
      <c r="V46" s="4"/>
      <c r="X46" s="4"/>
    </row>
    <row r="47" spans="1:36" x14ac:dyDescent="0.3">
      <c r="R47" s="4"/>
      <c r="S47" s="4"/>
      <c r="T47" s="4"/>
      <c r="U47" s="4"/>
      <c r="V47" s="4"/>
      <c r="X47" s="4"/>
    </row>
    <row r="48" spans="1:36" x14ac:dyDescent="0.3">
      <c r="R48" s="4"/>
      <c r="S48" s="4"/>
      <c r="T48" s="4"/>
      <c r="U48" s="4"/>
      <c r="V48" s="4"/>
      <c r="X48" s="4"/>
    </row>
    <row r="49" spans="18:24" x14ac:dyDescent="0.3">
      <c r="R49" s="4"/>
      <c r="S49" s="4"/>
      <c r="T49" s="4"/>
      <c r="U49" s="4"/>
      <c r="V49" s="4"/>
      <c r="X49" s="4"/>
    </row>
    <row r="50" spans="18:24" x14ac:dyDescent="0.3">
      <c r="R50" s="4"/>
      <c r="S50" s="4"/>
      <c r="T50" s="4"/>
      <c r="U50" s="4"/>
      <c r="V50" s="4"/>
      <c r="X50" s="4"/>
    </row>
    <row r="51" spans="18:24" x14ac:dyDescent="0.3">
      <c r="R51" s="4"/>
      <c r="S51" s="4"/>
      <c r="T51" s="4"/>
      <c r="U51" s="4"/>
      <c r="V51" s="4"/>
      <c r="X51" s="4"/>
    </row>
    <row r="52" spans="18:24" x14ac:dyDescent="0.3">
      <c r="R52" s="4"/>
      <c r="S52" s="4"/>
      <c r="T52" s="4"/>
      <c r="U52" s="4"/>
      <c r="V52" s="4"/>
      <c r="X52" s="4"/>
    </row>
    <row r="53" spans="18:24" x14ac:dyDescent="0.3">
      <c r="R53" s="4"/>
      <c r="S53" s="4"/>
      <c r="T53" s="4"/>
      <c r="U53" s="4"/>
      <c r="V53" s="4"/>
      <c r="X53" s="4"/>
    </row>
    <row r="54" spans="18:24" x14ac:dyDescent="0.3">
      <c r="R54" s="4"/>
      <c r="S54" s="4"/>
      <c r="T54" s="4"/>
      <c r="U54" s="4"/>
      <c r="V54" s="4"/>
      <c r="X54" s="4"/>
    </row>
    <row r="55" spans="18:24" x14ac:dyDescent="0.3">
      <c r="R55" s="4"/>
      <c r="S55" s="4"/>
      <c r="T55" s="4"/>
      <c r="U55" s="4"/>
      <c r="V55" s="4"/>
      <c r="X55" s="4"/>
    </row>
    <row r="56" spans="18:24" x14ac:dyDescent="0.3">
      <c r="R56" s="4"/>
      <c r="S56" s="4"/>
      <c r="T56" s="4"/>
      <c r="U56" s="4"/>
      <c r="V56" s="4"/>
      <c r="X56" s="4"/>
    </row>
    <row r="57" spans="18:24" x14ac:dyDescent="0.3">
      <c r="R57" s="4"/>
      <c r="S57" s="4"/>
      <c r="T57" s="4"/>
      <c r="U57" s="4"/>
      <c r="V57" s="4"/>
      <c r="X57" s="4"/>
    </row>
    <row r="58" spans="18:24" x14ac:dyDescent="0.3">
      <c r="R58" s="4"/>
      <c r="S58" s="4"/>
      <c r="T58" s="4"/>
      <c r="U58" s="4"/>
      <c r="V58" s="4"/>
      <c r="X58" s="4"/>
    </row>
    <row r="59" spans="18:24" x14ac:dyDescent="0.3">
      <c r="R59" s="4"/>
      <c r="S59" s="4"/>
      <c r="T59" s="4"/>
      <c r="U59" s="4"/>
      <c r="V59" s="4"/>
      <c r="X59" s="4"/>
    </row>
    <row r="60" spans="18:24" x14ac:dyDescent="0.3">
      <c r="R60" s="4"/>
      <c r="S60" s="4"/>
      <c r="T60" s="4"/>
      <c r="U60" s="4"/>
      <c r="V60" s="4"/>
      <c r="X60" s="4"/>
    </row>
    <row r="61" spans="18:24" x14ac:dyDescent="0.3">
      <c r="R61" s="4"/>
      <c r="S61" s="4"/>
      <c r="T61" s="4"/>
      <c r="U61" s="4"/>
      <c r="V61" s="4"/>
      <c r="X61" s="4"/>
    </row>
    <row r="62" spans="18:24" x14ac:dyDescent="0.3">
      <c r="R62" s="4"/>
      <c r="S62" s="4"/>
      <c r="T62" s="4"/>
      <c r="U62" s="4"/>
      <c r="V62" s="4"/>
      <c r="X62" s="4"/>
    </row>
    <row r="63" spans="18:24" x14ac:dyDescent="0.3">
      <c r="R63" s="4"/>
      <c r="S63" s="4"/>
      <c r="T63" s="4"/>
      <c r="U63" s="4"/>
      <c r="V63" s="4"/>
      <c r="X63" s="4"/>
    </row>
    <row r="64" spans="18:24" x14ac:dyDescent="0.3">
      <c r="R64" s="4"/>
      <c r="S64" s="4"/>
      <c r="T64" s="4"/>
      <c r="U64" s="4"/>
      <c r="V64" s="4"/>
      <c r="X64" s="4"/>
    </row>
    <row r="65" spans="18:24" x14ac:dyDescent="0.3">
      <c r="R65" s="4"/>
      <c r="S65" s="4"/>
      <c r="T65" s="4"/>
      <c r="U65" s="4"/>
      <c r="V65" s="4"/>
      <c r="X65" s="4"/>
    </row>
    <row r="66" spans="18:24" x14ac:dyDescent="0.3">
      <c r="R66" s="4"/>
      <c r="S66" s="4"/>
      <c r="T66" s="4"/>
      <c r="U66" s="4"/>
      <c r="V66" s="4"/>
      <c r="X66" s="4"/>
    </row>
    <row r="67" spans="18:24" x14ac:dyDescent="0.3">
      <c r="R67" s="4"/>
      <c r="S67" s="4"/>
      <c r="T67" s="4"/>
      <c r="U67" s="4"/>
      <c r="V67" s="4"/>
      <c r="X67" s="4"/>
    </row>
    <row r="68" spans="18:24" x14ac:dyDescent="0.3">
      <c r="R68" s="4"/>
      <c r="S68" s="4"/>
      <c r="T68" s="4"/>
      <c r="U68" s="4"/>
      <c r="V68" s="4"/>
      <c r="X68" s="4"/>
    </row>
    <row r="69" spans="18:24" x14ac:dyDescent="0.3">
      <c r="R69" s="4"/>
      <c r="S69" s="4"/>
      <c r="T69" s="4"/>
      <c r="U69" s="4"/>
      <c r="V69" s="4"/>
      <c r="X69" s="4"/>
    </row>
    <row r="70" spans="18:24" x14ac:dyDescent="0.3">
      <c r="R70" s="4"/>
      <c r="S70" s="4"/>
      <c r="T70" s="4"/>
      <c r="U70" s="4"/>
      <c r="V70" s="4"/>
      <c r="X70" s="4"/>
    </row>
    <row r="71" spans="18:24" x14ac:dyDescent="0.3">
      <c r="R71" s="4"/>
      <c r="S71" s="4"/>
      <c r="T71" s="4"/>
      <c r="U71" s="4"/>
      <c r="V71" s="4"/>
      <c r="X71" s="4"/>
    </row>
    <row r="72" spans="18:24" x14ac:dyDescent="0.3">
      <c r="R72" s="4"/>
      <c r="S72" s="4"/>
      <c r="T72" s="4"/>
      <c r="U72" s="4"/>
      <c r="V72" s="4"/>
      <c r="X72" s="4"/>
    </row>
    <row r="73" spans="18:24" x14ac:dyDescent="0.3">
      <c r="R73" s="4"/>
      <c r="S73" s="4"/>
      <c r="T73" s="4"/>
      <c r="U73" s="4"/>
      <c r="V73" s="4"/>
      <c r="X73" s="4"/>
    </row>
    <row r="74" spans="18:24" x14ac:dyDescent="0.3">
      <c r="R74" s="4"/>
      <c r="S74" s="4"/>
      <c r="T74" s="4"/>
      <c r="U74" s="4"/>
      <c r="V74" s="4"/>
      <c r="X74" s="4"/>
    </row>
    <row r="75" spans="18:24" x14ac:dyDescent="0.3">
      <c r="R75" s="4"/>
      <c r="S75" s="4"/>
      <c r="T75" s="4"/>
      <c r="U75" s="4"/>
      <c r="V75" s="4"/>
      <c r="X75" s="4"/>
    </row>
  </sheetData>
  <mergeCells count="24">
    <mergeCell ref="F2:L2"/>
    <mergeCell ref="R2:X2"/>
    <mergeCell ref="AD2:AJ2"/>
    <mergeCell ref="A3:A4"/>
    <mergeCell ref="D3:D4"/>
    <mergeCell ref="E3:E4"/>
    <mergeCell ref="K3:K4"/>
    <mergeCell ref="L3:L4"/>
    <mergeCell ref="R3:V3"/>
    <mergeCell ref="AI3:AI4"/>
    <mergeCell ref="AJ3:AJ4"/>
    <mergeCell ref="F3:J3"/>
    <mergeCell ref="X3:X4"/>
    <mergeCell ref="Y3:Y4"/>
    <mergeCell ref="B3:C4"/>
    <mergeCell ref="N3:O4"/>
    <mergeCell ref="AB3:AB4"/>
    <mergeCell ref="AC3:AC4"/>
    <mergeCell ref="AD3:AH3"/>
    <mergeCell ref="M3:M4"/>
    <mergeCell ref="P3:P4"/>
    <mergeCell ref="Q3:Q4"/>
    <mergeCell ref="W3:W4"/>
    <mergeCell ref="Z3:AA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8AA9-F20F-4C08-9022-F6E3654A324B}">
  <dimension ref="A1:I31"/>
  <sheetViews>
    <sheetView topLeftCell="A34" workbookViewId="0">
      <selection activeCell="C2" sqref="C2"/>
    </sheetView>
  </sheetViews>
  <sheetFormatPr defaultRowHeight="14.4" x14ac:dyDescent="0.3"/>
  <cols>
    <col min="2" max="2" width="16.33203125" customWidth="1"/>
  </cols>
  <sheetData>
    <row r="1" spans="1:9" x14ac:dyDescent="0.3">
      <c r="B1" s="35" t="s">
        <v>3</v>
      </c>
      <c r="C1" s="35">
        <v>2017</v>
      </c>
      <c r="D1" s="35">
        <v>2018</v>
      </c>
      <c r="E1" s="35">
        <v>2019</v>
      </c>
      <c r="F1" s="35">
        <v>2020</v>
      </c>
      <c r="G1" s="35">
        <v>2021</v>
      </c>
      <c r="H1" s="35">
        <v>2022</v>
      </c>
      <c r="I1" s="35">
        <v>2023</v>
      </c>
    </row>
    <row r="2" spans="1:9" x14ac:dyDescent="0.3">
      <c r="A2" s="89" t="s">
        <v>69</v>
      </c>
      <c r="B2" s="90" t="s">
        <v>12</v>
      </c>
      <c r="C2" s="35">
        <f>IFERROR(COUNT('шүүсэн '!C5:C33,'шүүсэн '!F5:F33,Sheet1!C1,'шүүсэн '!F5:F33,"="&amp;1,'шүүсэн '!F5:F33,"&lt;&gt;"),"")</f>
        <v>54</v>
      </c>
      <c r="D2" s="35">
        <f>+COUNTIF('шүүсэн '!F5:F33,Sheet1!D1)</f>
        <v>0</v>
      </c>
      <c r="E2" s="35"/>
      <c r="F2" s="35"/>
      <c r="G2" s="35"/>
      <c r="H2" s="35"/>
      <c r="I2" s="35"/>
    </row>
    <row r="3" spans="1:9" x14ac:dyDescent="0.3">
      <c r="A3" s="89"/>
      <c r="B3" s="91"/>
      <c r="C3" s="35"/>
      <c r="D3" s="35"/>
      <c r="E3" s="35"/>
      <c r="F3" s="35"/>
      <c r="G3" s="35"/>
      <c r="H3" s="35"/>
      <c r="I3" s="35"/>
    </row>
    <row r="4" spans="1:9" x14ac:dyDescent="0.3">
      <c r="A4" s="89"/>
      <c r="B4" s="90" t="s">
        <v>13</v>
      </c>
      <c r="C4" s="35"/>
      <c r="D4" s="35"/>
      <c r="E4" s="35"/>
      <c r="F4" s="35"/>
      <c r="G4" s="35"/>
      <c r="H4" s="35"/>
      <c r="I4" s="35"/>
    </row>
    <row r="5" spans="1:9" x14ac:dyDescent="0.3">
      <c r="A5" s="89"/>
      <c r="B5" s="91"/>
      <c r="C5" s="35"/>
      <c r="D5" s="35"/>
      <c r="E5" s="35"/>
      <c r="F5" s="35"/>
      <c r="G5" s="35"/>
      <c r="H5" s="35"/>
      <c r="I5" s="35"/>
    </row>
    <row r="6" spans="1:9" x14ac:dyDescent="0.3">
      <c r="A6" s="89"/>
      <c r="B6" s="90" t="s">
        <v>52</v>
      </c>
      <c r="C6" s="35"/>
      <c r="D6" s="35"/>
      <c r="E6" s="35"/>
      <c r="F6" s="35"/>
      <c r="G6" s="35"/>
      <c r="H6" s="35"/>
      <c r="I6" s="35"/>
    </row>
    <row r="7" spans="1:9" x14ac:dyDescent="0.3">
      <c r="A7" s="89"/>
      <c r="B7" s="91"/>
      <c r="C7" s="35"/>
      <c r="D7" s="35"/>
      <c r="E7" s="35"/>
      <c r="F7" s="35"/>
      <c r="G7" s="35"/>
      <c r="H7" s="35"/>
      <c r="I7" s="35"/>
    </row>
    <row r="8" spans="1:9" x14ac:dyDescent="0.3">
      <c r="A8" s="89"/>
      <c r="B8" s="90" t="s">
        <v>53</v>
      </c>
      <c r="C8" s="35"/>
      <c r="D8" s="35"/>
      <c r="E8" s="35"/>
      <c r="F8" s="35"/>
      <c r="G8" s="35"/>
      <c r="H8" s="35"/>
      <c r="I8" s="35"/>
    </row>
    <row r="9" spans="1:9" x14ac:dyDescent="0.3">
      <c r="A9" s="89"/>
      <c r="B9" s="91"/>
      <c r="C9" s="35"/>
      <c r="D9" s="35"/>
      <c r="E9" s="35"/>
      <c r="F9" s="35"/>
      <c r="G9" s="35"/>
      <c r="H9" s="35"/>
      <c r="I9" s="35"/>
    </row>
    <row r="10" spans="1:9" x14ac:dyDescent="0.3">
      <c r="A10" s="89"/>
      <c r="B10" s="90" t="s">
        <v>54</v>
      </c>
      <c r="C10" s="35"/>
      <c r="D10" s="35"/>
      <c r="E10" s="35"/>
      <c r="F10" s="35"/>
      <c r="G10" s="35"/>
      <c r="H10" s="35"/>
      <c r="I10" s="35"/>
    </row>
    <row r="11" spans="1:9" x14ac:dyDescent="0.3">
      <c r="A11" s="89"/>
      <c r="B11" s="91" t="s">
        <v>54</v>
      </c>
      <c r="C11" s="35"/>
      <c r="D11" s="35"/>
      <c r="E11" s="35"/>
      <c r="F11" s="35"/>
      <c r="G11" s="35"/>
      <c r="H11" s="35"/>
      <c r="I11" s="35"/>
    </row>
    <row r="12" spans="1:9" x14ac:dyDescent="0.3">
      <c r="A12" s="89" t="s">
        <v>69</v>
      </c>
      <c r="B12" s="90" t="s">
        <v>12</v>
      </c>
      <c r="C12" s="35" t="e" cm="1">
        <f t="array" ref="C12">+coun</f>
        <v>#NAME?</v>
      </c>
      <c r="D12" s="35"/>
      <c r="E12" s="35"/>
      <c r="F12" s="35"/>
      <c r="G12" s="35"/>
      <c r="H12" s="35"/>
      <c r="I12" s="35"/>
    </row>
    <row r="13" spans="1:9" x14ac:dyDescent="0.3">
      <c r="A13" s="89"/>
      <c r="B13" s="91"/>
      <c r="C13" s="35"/>
      <c r="D13" s="35"/>
      <c r="E13" s="35"/>
      <c r="F13" s="35"/>
      <c r="G13" s="35"/>
      <c r="H13" s="35"/>
      <c r="I13" s="35"/>
    </row>
    <row r="14" spans="1:9" x14ac:dyDescent="0.3">
      <c r="A14" s="89"/>
      <c r="B14" s="90" t="s">
        <v>13</v>
      </c>
      <c r="C14" s="35"/>
      <c r="D14" s="35"/>
      <c r="E14" s="35"/>
      <c r="F14" s="35"/>
      <c r="G14" s="35"/>
      <c r="H14" s="35"/>
      <c r="I14" s="35"/>
    </row>
    <row r="15" spans="1:9" x14ac:dyDescent="0.3">
      <c r="A15" s="89"/>
      <c r="B15" s="91"/>
      <c r="C15" s="35"/>
      <c r="D15" s="35"/>
      <c r="E15" s="35"/>
      <c r="F15" s="35"/>
      <c r="G15" s="35"/>
      <c r="H15" s="35"/>
      <c r="I15" s="35"/>
    </row>
    <row r="16" spans="1:9" x14ac:dyDescent="0.3">
      <c r="A16" s="89"/>
      <c r="B16" s="90" t="s">
        <v>52</v>
      </c>
      <c r="C16" s="35"/>
      <c r="D16" s="35"/>
      <c r="E16" s="35"/>
      <c r="F16" s="35"/>
      <c r="G16" s="35"/>
      <c r="H16" s="35"/>
      <c r="I16" s="35"/>
    </row>
    <row r="17" spans="1:9" x14ac:dyDescent="0.3">
      <c r="A17" s="89"/>
      <c r="B17" s="91"/>
      <c r="C17" s="35"/>
      <c r="D17" s="35"/>
      <c r="E17" s="35"/>
      <c r="F17" s="35"/>
      <c r="G17" s="35"/>
      <c r="H17" s="35"/>
      <c r="I17" s="35"/>
    </row>
    <row r="18" spans="1:9" x14ac:dyDescent="0.3">
      <c r="A18" s="89"/>
      <c r="B18" s="90" t="s">
        <v>53</v>
      </c>
      <c r="C18" s="35"/>
      <c r="D18" s="35"/>
      <c r="E18" s="35"/>
      <c r="F18" s="35"/>
      <c r="G18" s="35"/>
      <c r="H18" s="35"/>
      <c r="I18" s="35"/>
    </row>
    <row r="19" spans="1:9" x14ac:dyDescent="0.3">
      <c r="A19" s="89"/>
      <c r="B19" s="91"/>
      <c r="C19" s="35"/>
      <c r="D19" s="35"/>
      <c r="E19" s="35"/>
      <c r="F19" s="35"/>
      <c r="G19" s="35"/>
      <c r="H19" s="35"/>
      <c r="I19" s="35"/>
    </row>
    <row r="20" spans="1:9" x14ac:dyDescent="0.3">
      <c r="A20" s="89"/>
      <c r="B20" s="90" t="s">
        <v>54</v>
      </c>
      <c r="C20" s="35"/>
      <c r="D20" s="35"/>
      <c r="E20" s="35"/>
      <c r="F20" s="35"/>
      <c r="G20" s="35"/>
      <c r="H20" s="35"/>
      <c r="I20" s="35"/>
    </row>
    <row r="21" spans="1:9" x14ac:dyDescent="0.3">
      <c r="A21" s="89"/>
      <c r="B21" s="91" t="s">
        <v>54</v>
      </c>
      <c r="C21" s="35"/>
      <c r="D21" s="35"/>
      <c r="E21" s="35"/>
      <c r="F21" s="35"/>
      <c r="G21" s="35"/>
      <c r="H21" s="35"/>
      <c r="I21" s="35"/>
    </row>
    <row r="22" spans="1:9" x14ac:dyDescent="0.3">
      <c r="A22" s="89" t="s">
        <v>69</v>
      </c>
      <c r="B22" s="90" t="s">
        <v>12</v>
      </c>
      <c r="C22" s="35" t="e" cm="1">
        <f t="array" ref="C22">+coun</f>
        <v>#NAME?</v>
      </c>
      <c r="D22" s="35"/>
      <c r="E22" s="35"/>
      <c r="F22" s="35"/>
      <c r="G22" s="35"/>
      <c r="H22" s="35"/>
      <c r="I22" s="35"/>
    </row>
    <row r="23" spans="1:9" x14ac:dyDescent="0.3">
      <c r="A23" s="89"/>
      <c r="B23" s="91"/>
      <c r="C23" s="35"/>
      <c r="D23" s="35"/>
      <c r="E23" s="35"/>
      <c r="F23" s="35"/>
      <c r="G23" s="35"/>
      <c r="H23" s="35"/>
      <c r="I23" s="35"/>
    </row>
    <row r="24" spans="1:9" x14ac:dyDescent="0.3">
      <c r="A24" s="89"/>
      <c r="B24" s="90" t="s">
        <v>13</v>
      </c>
      <c r="C24" s="35"/>
      <c r="D24" s="35"/>
      <c r="E24" s="35"/>
      <c r="F24" s="35"/>
      <c r="G24" s="35"/>
      <c r="H24" s="35"/>
      <c r="I24" s="35"/>
    </row>
    <row r="25" spans="1:9" x14ac:dyDescent="0.3">
      <c r="A25" s="89"/>
      <c r="B25" s="91"/>
      <c r="C25" s="35"/>
      <c r="D25" s="35"/>
      <c r="E25" s="35"/>
      <c r="F25" s="35"/>
      <c r="G25" s="35"/>
      <c r="H25" s="35"/>
      <c r="I25" s="35"/>
    </row>
    <row r="26" spans="1:9" x14ac:dyDescent="0.3">
      <c r="A26" s="89"/>
      <c r="B26" s="90" t="s">
        <v>52</v>
      </c>
      <c r="C26" s="35"/>
      <c r="D26" s="35"/>
      <c r="E26" s="35"/>
      <c r="F26" s="35"/>
      <c r="G26" s="35"/>
      <c r="H26" s="35"/>
      <c r="I26" s="35"/>
    </row>
    <row r="27" spans="1:9" x14ac:dyDescent="0.3">
      <c r="A27" s="89"/>
      <c r="B27" s="91"/>
      <c r="C27" s="35"/>
      <c r="D27" s="35"/>
      <c r="E27" s="35"/>
      <c r="F27" s="35"/>
      <c r="G27" s="35"/>
      <c r="H27" s="35"/>
      <c r="I27" s="35"/>
    </row>
    <row r="28" spans="1:9" x14ac:dyDescent="0.3">
      <c r="A28" s="89"/>
      <c r="B28" s="90" t="s">
        <v>53</v>
      </c>
      <c r="C28" s="35"/>
      <c r="D28" s="35"/>
      <c r="E28" s="35"/>
      <c r="F28" s="35"/>
      <c r="G28" s="35"/>
      <c r="H28" s="35"/>
      <c r="I28" s="35"/>
    </row>
    <row r="29" spans="1:9" x14ac:dyDescent="0.3">
      <c r="A29" s="89"/>
      <c r="B29" s="91"/>
      <c r="C29" s="35"/>
      <c r="D29" s="35"/>
      <c r="E29" s="35"/>
      <c r="F29" s="35"/>
      <c r="G29" s="35"/>
      <c r="H29" s="35"/>
      <c r="I29" s="35"/>
    </row>
    <row r="30" spans="1:9" x14ac:dyDescent="0.3">
      <c r="A30" s="89"/>
      <c r="B30" s="90" t="s">
        <v>54</v>
      </c>
      <c r="C30" s="35"/>
      <c r="D30" s="35"/>
      <c r="E30" s="35"/>
      <c r="F30" s="35"/>
      <c r="G30" s="35"/>
      <c r="H30" s="35"/>
      <c r="I30" s="35"/>
    </row>
    <row r="31" spans="1:9" x14ac:dyDescent="0.3">
      <c r="A31" s="89"/>
      <c r="B31" s="91" t="s">
        <v>54</v>
      </c>
      <c r="C31" s="35"/>
      <c r="D31" s="35"/>
      <c r="E31" s="35"/>
      <c r="F31" s="35"/>
      <c r="G31" s="35"/>
      <c r="H31" s="35"/>
      <c r="I31" s="35"/>
    </row>
  </sheetData>
  <mergeCells count="18">
    <mergeCell ref="A12:A21"/>
    <mergeCell ref="A2:A1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A22:A31"/>
    <mergeCell ref="B22:B23"/>
    <mergeCell ref="B24:B25"/>
    <mergeCell ref="B26:B27"/>
    <mergeCell ref="B28:B29"/>
    <mergeCell ref="B30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</vt:lpstr>
      <vt:lpstr>Primary DMC 401,421,441</vt:lpstr>
      <vt:lpstr>шүүсэн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Dulguuntamir.B</dc:creator>
  <cp:lastModifiedBy>Dugar Davaajargal</cp:lastModifiedBy>
  <dcterms:created xsi:type="dcterms:W3CDTF">2015-01-11T00:55:29Z</dcterms:created>
  <dcterms:modified xsi:type="dcterms:W3CDTF">2026-06-11T08:15:27Z</dcterms:modified>
</cp:coreProperties>
</file>